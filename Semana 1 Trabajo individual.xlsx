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1655" windowHeight="7440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N42" i="1"/>
  <c r="I40"/>
  <c r="H40"/>
  <c r="G40"/>
  <c r="F40"/>
  <c r="K41" s="1"/>
  <c r="K44" s="1"/>
  <c r="E40"/>
  <c r="D40"/>
  <c r="C40"/>
  <c r="E36"/>
  <c r="D42"/>
  <c r="D28"/>
  <c r="C26"/>
  <c r="D30" s="1"/>
  <c r="F26"/>
  <c r="K27" s="1"/>
  <c r="K30" s="1"/>
  <c r="E26"/>
  <c r="D26"/>
  <c r="K26" s="1"/>
  <c r="K28" s="1"/>
  <c r="C12"/>
  <c r="D14"/>
  <c r="J12"/>
  <c r="I12"/>
  <c r="H12"/>
  <c r="G12"/>
  <c r="F12"/>
  <c r="E12"/>
  <c r="D12"/>
  <c r="B5"/>
  <c r="K40" l="1"/>
  <c r="K42" s="1"/>
  <c r="E42"/>
  <c r="G42" s="1"/>
  <c r="E44" s="1"/>
  <c r="E28"/>
  <c r="G28" s="1"/>
  <c r="D16"/>
  <c r="E14"/>
  <c r="G14" s="1"/>
</calcChain>
</file>

<file path=xl/sharedStrings.xml><?xml version="1.0" encoding="utf-8"?>
<sst xmlns="http://schemas.openxmlformats.org/spreadsheetml/2006/main" count="39" uniqueCount="22">
  <si>
    <t>Año</t>
  </si>
  <si>
    <t>FF</t>
  </si>
  <si>
    <t>Inversión Inicial</t>
  </si>
  <si>
    <t>Interés</t>
  </si>
  <si>
    <t>Flujo Neto Caja</t>
  </si>
  <si>
    <t>VAN</t>
  </si>
  <si>
    <t>=</t>
  </si>
  <si>
    <t>TIR</t>
  </si>
  <si>
    <t>Payback</t>
  </si>
  <si>
    <t>3 años + 3 meses</t>
  </si>
  <si>
    <t>Preg. 1</t>
  </si>
  <si>
    <t>Preg. 2</t>
  </si>
  <si>
    <t>Inversión Anterior</t>
  </si>
  <si>
    <t>anual</t>
  </si>
  <si>
    <t>2 años + 6 meses</t>
  </si>
  <si>
    <t>Preg. 3</t>
  </si>
  <si>
    <t>Costo Máquina</t>
  </si>
  <si>
    <t>Vida Util</t>
  </si>
  <si>
    <t>años</t>
  </si>
  <si>
    <t>Valor Residual</t>
  </si>
  <si>
    <t>Costo Capital</t>
  </si>
  <si>
    <t>VAN + Valor Residual</t>
  </si>
</sst>
</file>

<file path=xl/styles.xml><?xml version="1.0" encoding="utf-8"?>
<styleSheet xmlns="http://schemas.openxmlformats.org/spreadsheetml/2006/main">
  <numFmts count="4">
    <numFmt numFmtId="8" formatCode="&quot;S/&quot;\ #,##0.00;[Red]&quot;S/&quot;\ \-#,##0.00"/>
    <numFmt numFmtId="43" formatCode="_ * #,##0.00_ ;_ * \-#,##0.00_ ;_ * &quot;-&quot;??_ ;_ @_ "/>
    <numFmt numFmtId="165" formatCode="_ * #,##0_ ;_ * \-#,##0_ ;_ * &quot;-&quot;??_ ;_ @_ "/>
    <numFmt numFmtId="167" formatCode="\+\ _ * #,##0_ ;_ * \-#,##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8" fontId="0" fillId="0" borderId="0" xfId="0" applyNumberFormat="1"/>
    <xf numFmtId="9" fontId="0" fillId="0" borderId="0" xfId="0" applyNumberFormat="1"/>
    <xf numFmtId="0" fontId="3" fillId="0" borderId="0" xfId="0" applyFont="1"/>
    <xf numFmtId="165" fontId="3" fillId="0" borderId="0" xfId="1" applyNumberFormat="1" applyFont="1"/>
    <xf numFmtId="9" fontId="3" fillId="0" borderId="0" xfId="0" applyNumberFormat="1" applyFont="1"/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0" fillId="0" borderId="0" xfId="0" applyNumberFormat="1"/>
    <xf numFmtId="167" fontId="0" fillId="0" borderId="0" xfId="0" applyNumberFormat="1"/>
    <xf numFmtId="0" fontId="0" fillId="0" borderId="0" xfId="0" quotePrefix="1" applyAlignment="1">
      <alignment horizontal="center"/>
    </xf>
    <xf numFmtId="0" fontId="2" fillId="2" borderId="0" xfId="0" applyFont="1" applyFill="1"/>
    <xf numFmtId="0" fontId="3" fillId="0" borderId="0" xfId="0" applyFont="1" applyBorder="1"/>
    <xf numFmtId="0" fontId="4" fillId="0" borderId="0" xfId="0" applyFont="1" applyBorder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0" fillId="2" borderId="0" xfId="0" applyFill="1"/>
    <xf numFmtId="9" fontId="0" fillId="2" borderId="0" xfId="0" applyNumberFormat="1" applyFill="1"/>
    <xf numFmtId="0" fontId="2" fillId="3" borderId="0" xfId="0" applyFont="1" applyFill="1"/>
    <xf numFmtId="0" fontId="0" fillId="3" borderId="0" xfId="0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47"/>
  <sheetViews>
    <sheetView showGridLines="0" tabSelected="1" topLeftCell="A16" workbookViewId="0">
      <selection activeCell="E38" sqref="E38"/>
    </sheetView>
  </sheetViews>
  <sheetFormatPr baseColWidth="10" defaultRowHeight="15"/>
  <cols>
    <col min="1" max="1" width="9.140625" customWidth="1"/>
    <col min="2" max="2" width="8.85546875" customWidth="1"/>
    <col min="3" max="3" width="8.85546875" hidden="1" customWidth="1"/>
    <col min="4" max="4" width="10.42578125" customWidth="1"/>
    <col min="5" max="5" width="12.42578125" bestFit="1" customWidth="1"/>
    <col min="6" max="6" width="10.42578125" customWidth="1"/>
    <col min="7" max="7" width="10.5703125" customWidth="1"/>
    <col min="8" max="10" width="10.42578125" customWidth="1"/>
  </cols>
  <sheetData>
    <row r="2" spans="1:10">
      <c r="B2" s="1"/>
      <c r="C2" s="1"/>
    </row>
    <row r="3" spans="1:10">
      <c r="B3">
        <v>0</v>
      </c>
      <c r="D3">
        <v>1</v>
      </c>
      <c r="E3">
        <v>2</v>
      </c>
      <c r="F3">
        <v>3</v>
      </c>
      <c r="G3">
        <v>4</v>
      </c>
    </row>
    <row r="4" spans="1:10">
      <c r="B4">
        <v>-1500</v>
      </c>
      <c r="D4">
        <v>700</v>
      </c>
      <c r="E4">
        <v>700</v>
      </c>
      <c r="F4">
        <v>700</v>
      </c>
      <c r="G4">
        <v>700</v>
      </c>
    </row>
    <row r="5" spans="1:10">
      <c r="A5" t="s">
        <v>7</v>
      </c>
      <c r="B5" s="2">
        <f>IRR(B3:G4)</f>
        <v>0.31377241498884506</v>
      </c>
      <c r="C5" s="2"/>
    </row>
    <row r="6" spans="1:10">
      <c r="B6" s="2"/>
      <c r="C6" s="2"/>
    </row>
    <row r="7" spans="1:10" ht="16.5">
      <c r="A7" t="s">
        <v>10</v>
      </c>
      <c r="B7" s="3" t="s">
        <v>2</v>
      </c>
      <c r="C7" s="3"/>
      <c r="E7" s="4">
        <v>6000000</v>
      </c>
    </row>
    <row r="8" spans="1:10" ht="16.5">
      <c r="B8" s="3" t="s">
        <v>4</v>
      </c>
      <c r="C8" s="3"/>
      <c r="D8" s="3"/>
      <c r="E8" s="4">
        <v>2000000</v>
      </c>
      <c r="F8" s="3"/>
      <c r="G8" s="3"/>
      <c r="H8" s="3"/>
      <c r="I8" s="3"/>
      <c r="J8" s="3"/>
    </row>
    <row r="9" spans="1:10" ht="16.5">
      <c r="B9" s="3" t="s">
        <v>3</v>
      </c>
      <c r="C9" s="3"/>
      <c r="D9" s="3"/>
      <c r="E9" s="5">
        <v>0.05</v>
      </c>
      <c r="F9" s="3" t="s">
        <v>13</v>
      </c>
      <c r="G9" s="3"/>
      <c r="H9" s="3"/>
      <c r="I9" s="3"/>
      <c r="J9" s="3"/>
    </row>
    <row r="10" spans="1:10" ht="16.5">
      <c r="B10" s="3"/>
      <c r="C10" s="3"/>
      <c r="D10" s="3"/>
      <c r="E10" s="3"/>
      <c r="F10" s="3"/>
      <c r="G10" s="3"/>
      <c r="H10" s="3"/>
      <c r="I10" s="3"/>
      <c r="J10" s="3"/>
    </row>
    <row r="11" spans="1:10" ht="16.5">
      <c r="B11" s="8" t="s">
        <v>0</v>
      </c>
      <c r="C11" s="6">
        <v>0</v>
      </c>
      <c r="D11" s="8">
        <v>1</v>
      </c>
      <c r="E11" s="8">
        <v>2</v>
      </c>
      <c r="F11" s="8">
        <v>3</v>
      </c>
      <c r="G11" s="8">
        <v>4</v>
      </c>
      <c r="H11" s="8">
        <v>5</v>
      </c>
      <c r="I11" s="8">
        <v>6</v>
      </c>
      <c r="J11" s="8">
        <v>7</v>
      </c>
    </row>
    <row r="12" spans="1:10" ht="16.5">
      <c r="B12" s="8" t="s">
        <v>1</v>
      </c>
      <c r="C12" s="6">
        <f>+E7*-1</f>
        <v>-6000000</v>
      </c>
      <c r="D12" s="7">
        <f>$E$8/(1+$E$9)^D11</f>
        <v>1904761.9047619046</v>
      </c>
      <c r="E12" s="7">
        <f>$E$8/(1+$E$9)^E11</f>
        <v>1814058.9569160996</v>
      </c>
      <c r="F12" s="7">
        <f>$E$8/(1+$E$9)^F11</f>
        <v>1727675.197062952</v>
      </c>
      <c r="G12" s="7">
        <f>$E$8/(1+$E$9)^G11</f>
        <v>1645404.949583764</v>
      </c>
      <c r="H12" s="7">
        <f>$E$8/(1+$E$9)^H11</f>
        <v>1567052.3329369179</v>
      </c>
      <c r="I12" s="7">
        <f>$E$8/(1+$E$9)^I11</f>
        <v>1492430.7932732552</v>
      </c>
      <c r="J12" s="7">
        <f>$E$8/(1+$E$9)^J11</f>
        <v>1421362.6602602429</v>
      </c>
    </row>
    <row r="14" spans="1:10">
      <c r="B14" s="12" t="s">
        <v>5</v>
      </c>
      <c r="D14" s="9">
        <f>-E7</f>
        <v>-6000000</v>
      </c>
      <c r="E14" s="10">
        <f>SUM(D12:J12)</f>
        <v>11572746.794795137</v>
      </c>
      <c r="F14" s="11" t="s">
        <v>6</v>
      </c>
      <c r="G14" s="9">
        <f>+E14+D14</f>
        <v>5572746.7947951369</v>
      </c>
    </row>
    <row r="15" spans="1:10" ht="4.5" customHeight="1">
      <c r="B15" s="12"/>
    </row>
    <row r="16" spans="1:10">
      <c r="B16" s="12" t="s">
        <v>7</v>
      </c>
      <c r="D16" s="2">
        <f>IRR(C11:J12)</f>
        <v>0.21065832442843532</v>
      </c>
    </row>
    <row r="17" spans="1:11" ht="5.25" customHeight="1">
      <c r="B17" s="12"/>
    </row>
    <row r="18" spans="1:11">
      <c r="B18" s="12" t="s">
        <v>8</v>
      </c>
      <c r="D18" t="s">
        <v>9</v>
      </c>
    </row>
    <row r="20" spans="1:11">
      <c r="G20" s="9"/>
    </row>
    <row r="21" spans="1:11" ht="16.5">
      <c r="A21" t="s">
        <v>11</v>
      </c>
      <c r="B21" s="3" t="s">
        <v>2</v>
      </c>
      <c r="C21" s="3"/>
      <c r="E21" s="4">
        <v>50000</v>
      </c>
      <c r="G21" s="3" t="s">
        <v>12</v>
      </c>
      <c r="H21" s="3"/>
      <c r="I21" s="4">
        <v>10000</v>
      </c>
    </row>
    <row r="22" spans="1:11" ht="16.5">
      <c r="B22" s="3" t="s">
        <v>4</v>
      </c>
      <c r="C22" s="3"/>
      <c r="D22" s="3"/>
      <c r="E22" s="4">
        <v>30000</v>
      </c>
      <c r="F22" s="3"/>
      <c r="G22" s="3"/>
      <c r="H22" s="3"/>
      <c r="I22" s="3"/>
      <c r="J22" s="3"/>
    </row>
    <row r="23" spans="1:11" ht="16.5">
      <c r="B23" s="3" t="s">
        <v>3</v>
      </c>
      <c r="C23" s="3"/>
      <c r="D23" s="3"/>
      <c r="E23" s="5">
        <v>0.12</v>
      </c>
      <c r="F23" s="3" t="s">
        <v>13</v>
      </c>
      <c r="G23" s="3"/>
      <c r="H23" s="3"/>
      <c r="I23" s="3"/>
      <c r="J23" s="3"/>
    </row>
    <row r="24" spans="1:11" ht="16.5">
      <c r="B24" s="3"/>
      <c r="C24" s="3"/>
      <c r="D24" s="3"/>
      <c r="E24" s="3"/>
      <c r="F24" s="3"/>
      <c r="G24" s="13"/>
      <c r="H24" s="13"/>
      <c r="I24" s="13"/>
      <c r="J24" s="13"/>
    </row>
    <row r="25" spans="1:11" ht="16.5">
      <c r="B25" s="8" t="s">
        <v>0</v>
      </c>
      <c r="C25" s="6">
        <v>0</v>
      </c>
      <c r="D25" s="8">
        <v>1</v>
      </c>
      <c r="E25" s="8">
        <v>2</v>
      </c>
      <c r="F25" s="8">
        <v>3</v>
      </c>
      <c r="G25" s="14"/>
      <c r="H25" s="14"/>
      <c r="I25" s="14"/>
      <c r="J25" s="14"/>
    </row>
    <row r="26" spans="1:11" ht="16.5">
      <c r="B26" s="8" t="s">
        <v>1</v>
      </c>
      <c r="C26" s="6">
        <f>(E21+I21)*-1</f>
        <v>-60000</v>
      </c>
      <c r="D26" s="7">
        <f>$E$22/(1+$E$23)^D25</f>
        <v>26785.714285714283</v>
      </c>
      <c r="E26" s="7">
        <f>$E$22/(1+$E$23)^E25</f>
        <v>23915.81632653061</v>
      </c>
      <c r="F26" s="7">
        <f>$E$22/(1+$E$23)^F25</f>
        <v>21353.407434402325</v>
      </c>
      <c r="G26" s="15"/>
      <c r="H26" s="15"/>
      <c r="I26" s="15"/>
      <c r="J26" s="15"/>
      <c r="K26" s="9">
        <f>+I21+E21-D26-E26</f>
        <v>9298.4693877551072</v>
      </c>
    </row>
    <row r="27" spans="1:11">
      <c r="K27">
        <f>+F26/12</f>
        <v>1779.4506195335271</v>
      </c>
    </row>
    <row r="28" spans="1:11">
      <c r="B28" s="12" t="s">
        <v>5</v>
      </c>
      <c r="D28" s="9">
        <f>-(E21+I21)</f>
        <v>-60000</v>
      </c>
      <c r="E28" s="10">
        <f>SUM(D26:J26)</f>
        <v>72054.938046647221</v>
      </c>
      <c r="F28" s="11" t="s">
        <v>6</v>
      </c>
      <c r="G28" s="9">
        <f>+E28+D28</f>
        <v>12054.938046647221</v>
      </c>
      <c r="K28">
        <f>+K26/K27</f>
        <v>5.2254720000000043</v>
      </c>
    </row>
    <row r="29" spans="1:11" ht="6.75" customHeight="1">
      <c r="B29" s="12"/>
    </row>
    <row r="30" spans="1:11">
      <c r="B30" s="12" t="s">
        <v>7</v>
      </c>
      <c r="D30" s="2">
        <f>IRR(C25:F26)</f>
        <v>0.10163396820584034</v>
      </c>
      <c r="K30">
        <f>+K27*5</f>
        <v>8897.2530976676353</v>
      </c>
    </row>
    <row r="31" spans="1:11" ht="6.75" customHeight="1">
      <c r="B31" s="12"/>
    </row>
    <row r="32" spans="1:11">
      <c r="B32" s="12" t="s">
        <v>8</v>
      </c>
      <c r="D32" t="s">
        <v>14</v>
      </c>
    </row>
    <row r="35" spans="1:14" ht="16.5">
      <c r="A35" t="s">
        <v>15</v>
      </c>
      <c r="B35" s="3" t="s">
        <v>16</v>
      </c>
      <c r="C35" s="3"/>
      <c r="E35" s="4">
        <v>110000</v>
      </c>
      <c r="G35" s="16" t="s">
        <v>17</v>
      </c>
      <c r="H35">
        <v>6</v>
      </c>
      <c r="I35" t="s">
        <v>18</v>
      </c>
    </row>
    <row r="36" spans="1:14" ht="16.5">
      <c r="B36" s="3" t="s">
        <v>4</v>
      </c>
      <c r="C36" s="3"/>
      <c r="D36" s="3"/>
      <c r="E36" s="4">
        <f>30000-4000</f>
        <v>26000</v>
      </c>
      <c r="F36" s="3"/>
      <c r="G36" s="16" t="s">
        <v>19</v>
      </c>
      <c r="H36" s="4">
        <v>10000</v>
      </c>
      <c r="I36" s="4"/>
      <c r="J36" s="3"/>
    </row>
    <row r="37" spans="1:14" ht="16.5">
      <c r="B37" s="3" t="s">
        <v>20</v>
      </c>
      <c r="C37" s="3"/>
      <c r="D37" s="3"/>
      <c r="E37" s="5">
        <v>0.15</v>
      </c>
      <c r="F37" s="3" t="s">
        <v>13</v>
      </c>
      <c r="G37" s="3"/>
      <c r="H37" s="3"/>
      <c r="I37" s="3"/>
      <c r="J37" s="3"/>
    </row>
    <row r="38" spans="1:14" ht="16.5">
      <c r="B38" s="3"/>
      <c r="C38" s="3"/>
      <c r="D38" s="3"/>
      <c r="E38" s="3"/>
      <c r="F38" s="3"/>
      <c r="G38" s="13"/>
      <c r="H38" s="13"/>
      <c r="I38" s="13"/>
      <c r="J38" s="13"/>
    </row>
    <row r="39" spans="1:14" ht="16.5">
      <c r="B39" s="8" t="s">
        <v>0</v>
      </c>
      <c r="C39" s="6">
        <v>0</v>
      </c>
      <c r="D39" s="8">
        <v>1</v>
      </c>
      <c r="E39" s="8">
        <v>2</v>
      </c>
      <c r="F39" s="8">
        <v>3</v>
      </c>
      <c r="G39" s="8">
        <v>4</v>
      </c>
      <c r="H39" s="8">
        <v>5</v>
      </c>
      <c r="I39" s="8">
        <v>6</v>
      </c>
      <c r="J39" s="14"/>
    </row>
    <row r="40" spans="1:14" ht="16.5">
      <c r="B40" s="8" t="s">
        <v>1</v>
      </c>
      <c r="C40" s="6">
        <f>(E35)*-1</f>
        <v>-110000</v>
      </c>
      <c r="D40" s="7">
        <f>$E$36/(1+$E$37)^D39</f>
        <v>22608.695652173916</v>
      </c>
      <c r="E40" s="7">
        <f t="shared" ref="E40:I40" si="0">$E$36/(1+$E$37)^E39</f>
        <v>19659.735349716448</v>
      </c>
      <c r="F40" s="7">
        <f t="shared" si="0"/>
        <v>17095.422043231698</v>
      </c>
      <c r="G40" s="7">
        <f t="shared" si="0"/>
        <v>14865.584385418868</v>
      </c>
      <c r="H40" s="7">
        <f t="shared" si="0"/>
        <v>12926.595117755536</v>
      </c>
      <c r="I40" s="7">
        <f t="shared" si="0"/>
        <v>11240.517493700469</v>
      </c>
      <c r="J40" s="15"/>
      <c r="K40" s="9">
        <f>+I36+E35-D40-E40</f>
        <v>67731.568998109637</v>
      </c>
    </row>
    <row r="41" spans="1:14">
      <c r="K41">
        <f>+F40/12</f>
        <v>1424.6185036026416</v>
      </c>
    </row>
    <row r="42" spans="1:14">
      <c r="B42" s="12" t="s">
        <v>5</v>
      </c>
      <c r="D42" s="9">
        <f>-(E35+I36)</f>
        <v>-110000</v>
      </c>
      <c r="E42" s="10">
        <f>SUM(D40:J40)</f>
        <v>98396.550041996932</v>
      </c>
      <c r="F42" s="11" t="s">
        <v>6</v>
      </c>
      <c r="G42" s="9">
        <f>+E42+D42</f>
        <v>-11603.449958003068</v>
      </c>
      <c r="K42">
        <f>+K40/K41</f>
        <v>47.543653846153823</v>
      </c>
      <c r="N42">
        <f>110000*18%</f>
        <v>19800</v>
      </c>
    </row>
    <row r="43" spans="1:14" ht="6.75" customHeight="1">
      <c r="B43" s="12"/>
    </row>
    <row r="44" spans="1:14">
      <c r="B44" s="12" t="s">
        <v>21</v>
      </c>
      <c r="C44" s="17"/>
      <c r="D44" s="18"/>
      <c r="E44" s="9">
        <f>+G42+H36</f>
        <v>-1603.4499580030679</v>
      </c>
      <c r="K44">
        <f>+K41*5</f>
        <v>7123.0925180132081</v>
      </c>
    </row>
    <row r="45" spans="1:14" ht="6.75" customHeight="1">
      <c r="B45" s="19"/>
    </row>
    <row r="46" spans="1:14">
      <c r="B46" s="19"/>
    </row>
    <row r="47" spans="1:14">
      <c r="B47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MARCO-201611</dc:creator>
  <cp:lastModifiedBy>MARCO-201611</cp:lastModifiedBy>
  <dcterms:created xsi:type="dcterms:W3CDTF">2019-02-10T21:01:01Z</dcterms:created>
  <dcterms:modified xsi:type="dcterms:W3CDTF">2019-02-11T00:12:31Z</dcterms:modified>
</cp:coreProperties>
</file>