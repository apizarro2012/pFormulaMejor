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showInkAnnotation="0" autoCompressPictures="0"/>
  <mc:AlternateContent xmlns:mc="http://schemas.openxmlformats.org/markup-compatibility/2006">
    <mc:Choice Requires="x15">
      <x15ac:absPath xmlns:x15ac="http://schemas.microsoft.com/office/spreadsheetml/2010/11/ac" url="C:\2019\04. BCTS\"/>
    </mc:Choice>
  </mc:AlternateContent>
  <xr:revisionPtr revIDLastSave="0" documentId="8_{0DDDC180-8815-B649-AE5E-B8DA9EEAB128}" xr6:coauthVersionLast="41" xr6:coauthVersionMax="41" xr10:uidLastSave="{00000000-0000-0000-0000-000000000000}"/>
  <bookViews>
    <workbookView xWindow="0" yWindow="0" windowWidth="20490" windowHeight="7755" tabRatio="585" xr2:uid="{00000000-000D-0000-FFFF-FFFF00000000}"/>
  </bookViews>
  <sheets>
    <sheet name="Resumen" sheetId="13" r:id="rId1"/>
    <sheet name="P1" sheetId="1" r:id="rId2"/>
    <sheet name="P2" sheetId="12" r:id="rId3"/>
    <sheet name="P3" sheetId="11" r:id="rId4"/>
    <sheet name="P4" sheetId="10" r:id="rId5"/>
  </sheets>
  <definedNames>
    <definedName name="_xlnm.Print_Area" localSheetId="1">'P1'!$A$3:$C$27</definedName>
    <definedName name="_xlnm.Print_Area" localSheetId="2">'P2'!$A$3:$C$16</definedName>
    <definedName name="_xlnm.Print_Area" localSheetId="3">'P3'!$A$3:$C$16</definedName>
    <definedName name="_xlnm.Print_Area" localSheetId="4">'P4'!$A$3:$C$16</definedName>
  </definedNames>
  <calcPr calcId="191028"/>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alcChain.xml><?xml version="1.0" encoding="utf-8"?>
<calcChain xmlns="http://schemas.openxmlformats.org/spreadsheetml/2006/main">
  <c r="B12" i="10" l="1"/>
  <c r="B13" i="10"/>
  <c r="C27" i="10"/>
  <c r="B12" i="11"/>
  <c r="D9" i="13"/>
  <c r="C27" i="11"/>
  <c r="B12" i="12"/>
  <c r="B13" i="12"/>
  <c r="C27" i="12"/>
  <c r="B12" i="1"/>
  <c r="B9" i="13"/>
  <c r="C4" i="13"/>
  <c r="D4" i="13"/>
  <c r="E4" i="13"/>
  <c r="C5" i="13"/>
  <c r="D5" i="13"/>
  <c r="E5" i="13"/>
  <c r="C6" i="13"/>
  <c r="D6" i="13"/>
  <c r="E6" i="13"/>
  <c r="C7" i="13"/>
  <c r="D7" i="13"/>
  <c r="E7" i="13"/>
  <c r="C8" i="13"/>
  <c r="D8" i="13"/>
  <c r="E8" i="13"/>
  <c r="C9" i="13"/>
  <c r="E9" i="13"/>
  <c r="E3" i="13"/>
  <c r="D3" i="13"/>
  <c r="C3" i="13"/>
  <c r="B4" i="13"/>
  <c r="B5" i="13"/>
  <c r="B6" i="13"/>
  <c r="B7" i="13"/>
  <c r="B8" i="13"/>
  <c r="B3" i="13"/>
  <c r="C27" i="1"/>
  <c r="B13" i="1"/>
  <c r="B14" i="1"/>
  <c r="B11" i="13"/>
  <c r="B13" i="11"/>
  <c r="B14" i="11"/>
  <c r="D21" i="11"/>
  <c r="B14" i="10"/>
  <c r="E10" i="13"/>
  <c r="C10" i="13"/>
  <c r="B14" i="12"/>
  <c r="D25" i="1"/>
  <c r="D17" i="1"/>
  <c r="B10" i="13"/>
  <c r="D21" i="1"/>
  <c r="D19" i="1"/>
  <c r="D23" i="1"/>
  <c r="D25" i="11"/>
  <c r="D23" i="11"/>
  <c r="D19" i="11"/>
  <c r="D11" i="13"/>
  <c r="D17" i="11"/>
  <c r="D27" i="11"/>
  <c r="D10" i="13"/>
  <c r="D19" i="10"/>
  <c r="D21" i="10"/>
  <c r="E11" i="13"/>
  <c r="D23" i="10"/>
  <c r="D17" i="10"/>
  <c r="D25" i="10"/>
  <c r="D19" i="12"/>
  <c r="C11" i="13"/>
  <c r="D17" i="12"/>
  <c r="D25" i="12"/>
  <c r="D21" i="12"/>
  <c r="D23" i="12"/>
  <c r="B13" i="13"/>
  <c r="D27" i="1"/>
  <c r="D27" i="10"/>
  <c r="D27"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Pablo Lledo</author>
  </authors>
  <commentList>
    <comment ref="C27" authorId="0" shapeId="0" xr:uid="{00000000-0006-0000-0100-000001000000}">
      <text>
        <r>
          <rPr>
            <sz val="8"/>
            <color indexed="81"/>
            <rFont val="Tahoma"/>
            <family val="2"/>
          </rPr>
          <t>Debe sumar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Pablo Lledo</author>
  </authors>
  <commentList>
    <comment ref="C27" authorId="0" shapeId="0" xr:uid="{00000000-0006-0000-0200-000001000000}">
      <text>
        <r>
          <rPr>
            <sz val="8"/>
            <color indexed="81"/>
            <rFont val="Tahoma"/>
            <family val="2"/>
          </rPr>
          <t>Debe sumar 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Pablo Lledo</author>
  </authors>
  <commentList>
    <comment ref="C27" authorId="0" shapeId="0" xr:uid="{00000000-0006-0000-0300-000001000000}">
      <text>
        <r>
          <rPr>
            <sz val="8"/>
            <color indexed="81"/>
            <rFont val="Tahoma"/>
            <family val="2"/>
          </rPr>
          <t>Debe sumar 100%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Pablo Lledo</author>
  </authors>
  <commentList>
    <comment ref="C27" authorId="0" shapeId="0" xr:uid="{00000000-0006-0000-0400-000001000000}">
      <text>
        <r>
          <rPr>
            <sz val="8"/>
            <color indexed="81"/>
            <rFont val="Tahoma"/>
            <family val="2"/>
          </rPr>
          <t>Debe sumar 100%</t>
        </r>
      </text>
    </comment>
  </commentList>
</comments>
</file>

<file path=xl/sharedStrings.xml><?xml version="1.0" encoding="utf-8"?>
<sst xmlns="http://schemas.openxmlformats.org/spreadsheetml/2006/main" count="231" uniqueCount="66">
  <si>
    <t>TOTAL</t>
  </si>
  <si>
    <t>PROJECT</t>
  </si>
  <si>
    <t>Supervisor</t>
  </si>
  <si>
    <t>Project Manager</t>
  </si>
  <si>
    <t>Educator</t>
  </si>
  <si>
    <t>Consultant</t>
  </si>
  <si>
    <t>Administrator</t>
  </si>
  <si>
    <t>Project Contributor</t>
  </si>
  <si>
    <t>Construction</t>
  </si>
  <si>
    <t>Engineering</t>
  </si>
  <si>
    <t>IT/Software</t>
  </si>
  <si>
    <t>Manufacturing</t>
  </si>
  <si>
    <t>Consulting</t>
  </si>
  <si>
    <t>Title</t>
  </si>
  <si>
    <t>Role</t>
  </si>
  <si>
    <t>Industry</t>
  </si>
  <si>
    <t>Start</t>
  </si>
  <si>
    <t>End</t>
  </si>
  <si>
    <t>"Cambiar celdas en verde"</t>
  </si>
  <si>
    <t>Dedicación</t>
  </si>
  <si>
    <t xml:space="preserve">Días </t>
  </si>
  <si>
    <t>Días háb.</t>
  </si>
  <si>
    <t>Total Hours</t>
  </si>
  <si>
    <t>Name</t>
  </si>
  <si>
    <t>PROJECT #1</t>
  </si>
  <si>
    <t>PROJECT #2</t>
  </si>
  <si>
    <t>PROJECT #3</t>
  </si>
  <si>
    <t>PROJECT #4</t>
  </si>
  <si>
    <t>#1</t>
  </si>
  <si>
    <t>#2</t>
  </si>
  <si>
    <t>#3</t>
  </si>
  <si>
    <t>#4</t>
  </si>
  <si>
    <t>TOTAL HOURS</t>
  </si>
  <si>
    <t>Hours</t>
  </si>
  <si>
    <t>INITIATING PROCESSES</t>
  </si>
  <si>
    <t>PLANNING PROCESSES</t>
  </si>
  <si>
    <t>EXECUTING PROCESSES</t>
  </si>
  <si>
    <t>CLOSING PROCESSES</t>
  </si>
  <si>
    <t xml:space="preserve"> </t>
  </si>
  <si>
    <t>Project Leader</t>
  </si>
  <si>
    <t>MONITORING AND CONTROLLING PROCESSES</t>
  </si>
  <si>
    <t>Conduct project selection methods to evaluate the feasibility of new products or services and/or
Identify key stakeholders and perform analysis to gain buy-in and requirements for the success of the project and/or
Define the scope of the project based on the organization need to meet the customer project expectations and/or
Develop the project charter and review it with hey stakeholders to confirm project scope, risks, issuess, assumptions and constraints as well as obtain project charter approval from the project sponsor and/or
Identify and document high level risks, assumptions and constraints using historical data and expert judgment.</t>
  </si>
  <si>
    <t>Identify key project team members and define roles and responsibilities to create a project organization structure to develop a communcation plan and/or
Create the work breakdown structure with the team to develop the cost, schedule, resource, quality and procurement plans and/or
Identify project risks to define risk strategies and develop the risk management plan and/or
Obtain project plan approval from the customer and conduct a kick off meeting wih all key stakeholders and/or
Define and record detail project requirements, constraints and assumption with the stakeholders to establish the project deliverables and/or
Develop the change management plan to define how changes will be handled to manage the triple constraints.</t>
  </si>
  <si>
    <t xml:space="preserve">Manage proactively the resource allocation by ensuring that appropiate resources and tools are assigned to the task according to the project plan and/or
Execute the tasks defined in the project plan in order to achieve the project goals and/or
Ensure a common understanding and set expectations through communication to align the stakeholders and team members and/or
Improve team performance by building team cohesiveness, leading, mentoring, training, and motivating in order to facilitate cooperation, ensure project efficiency and boost morale and/or
Implement a quality management plan to ensure that work is being performed according to required quality standards and/or
Implement approved changes according to the Change Management Plan and/or
Obtain project resources in accordance with a procurement plan and/or
Implement the aproved actions and workarounds required to minimize the impact of project risks.
</t>
  </si>
  <si>
    <t>Measure project performance using appropriate tools and techniques and/or
Verify and manage changes to the project scope, project schedule and project costs as defined in the change management plan and/or
Monitor the status of all identified risks, identify any new risks, take corrective actions and update the risk response plan and/or
Ensure the project deliverables conform to quality standards established in the project quality plan.</t>
  </si>
  <si>
    <t>Formalize and obtain final acceptance for the project and/or
Identify, document and communicate lessons learned and/or
Archive and retain project records, historical information and documents (e.g., project schedule, project plan, lessons learned, surveys, risk and issues logs, etc.) in order to retain organizational knowledge, comply with statutory requirements, and ensure availability of data for potential use in future projects and internal/external audits and/or
Obtain financial, legal and administrative project closure (e.g., final payments, warranties, contract signoff) and/or
Release all project resources and provide performance feedback and/or
Create and distribute final project report and/or
Measure customer satisfaction at the end of the project.</t>
  </si>
  <si>
    <t>Manager</t>
  </si>
  <si>
    <t>Other</t>
  </si>
  <si>
    <t>Aerospace</t>
  </si>
  <si>
    <t>Automotive</t>
  </si>
  <si>
    <t>Business</t>
  </si>
  <si>
    <t>Education</t>
  </si>
  <si>
    <t>Finance</t>
  </si>
  <si>
    <t>Healthcare</t>
  </si>
  <si>
    <t>Human Resources</t>
  </si>
  <si>
    <t>Information Technology</t>
  </si>
  <si>
    <t>PROJECT ROLE</t>
  </si>
  <si>
    <t>PRIMARY INDUSTRY</t>
  </si>
  <si>
    <t>Communications</t>
  </si>
  <si>
    <t xml:space="preserve">Example for summarize the project tasks that you led and directed on this project:
Manage proactively the resource allocation by ensuring that appropiate resources and tools are assigned to the task according to the project plan and/or
Execute the tasks defined in the project plan in order to achieve the project goals and/or
Ensure a common understanding and set expectations through communication to align the stakeholders and team members and/or
Improve team performance by building team cohesiveness, leading, mentoring, training, and motivating in order to facilitate cooperation, ensure project efficiency and boost morale and/or
Implement a quality management plan to ensure that work is being performed according to required quality standards and/or
Implement approved changes according to the Change Management Plan and/or
Obtain project resources in accordance with a procurement plan and/or
Implement the aproved actions and workarounds required to minimize the impact of project risks.
</t>
  </si>
  <si>
    <t>Example for summarize the project tasks that you led and directed on this project:</t>
  </si>
  <si>
    <t>Project 1</t>
  </si>
  <si>
    <t>Juan Perez</t>
  </si>
  <si>
    <t>Project 2</t>
  </si>
  <si>
    <t>Project 3</t>
  </si>
  <si>
    <t>Project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</si>
</sst>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_-;\-* #,##0.00\ _€_-;_-* &quot;-&quot;??\ _€_-;_-@_-"/>
    <numFmt numFmtId="165" formatCode="_-* #,##0\ _€_-;\-* #,##0\ _€_-;_-* &quot;-&quot;??\ _€_-;_-@_-"/>
    <numFmt numFmtId="166" formatCode="[$-C0A]mmmm\-yy;@"/>
  </numFmts>
  <fonts count="10" x14ac:knownFonts="1">
    <font>
      <sz val="10"/>
      <name val="Arial"/>
    </font>
    <font>
      <sz val="10"/>
      <name val="Arial"/>
      <family val="2"/>
    </font>
    <font>
      <b/>
      <sz val="10"/>
      <name val="Arial"/>
      <family val="2"/>
    </font>
    <font>
      <sz val="8"/>
      <color indexed="81"/>
      <name val="Tahoma"/>
      <family val="2"/>
    </font>
    <font>
      <sz val="12"/>
      <name val="Arial"/>
      <family val="2"/>
    </font>
    <font>
      <b/>
      <sz val="12"/>
      <name val="Arial"/>
      <family val="2"/>
    </font>
    <font>
      <b/>
      <sz val="12"/>
      <name val="Arial"/>
      <family val="2"/>
    </font>
    <font>
      <b/>
      <sz val="10"/>
      <color indexed="10"/>
      <name val="Arial"/>
      <family val="2"/>
    </font>
    <font>
      <sz val="12"/>
      <name val="Arial"/>
      <family val="2"/>
    </font>
    <font>
      <sz val="8"/>
      <name val="Arial"/>
      <family val="2"/>
    </font>
  </fonts>
  <fills count="5">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22"/>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9" fontId="1" fillId="0" borderId="0" applyFont="0" applyFill="0" applyBorder="0" applyAlignment="0" applyProtection="0"/>
  </cellStyleXfs>
  <cellXfs count="58">
    <xf numFmtId="0" fontId="0" fillId="0" borderId="0" xfId="0"/>
    <xf numFmtId="0" fontId="0" fillId="2" borderId="0" xfId="0" applyFill="1"/>
    <xf numFmtId="0" fontId="0" fillId="0" borderId="0" xfId="0" applyAlignment="1">
      <alignment horizontal="right"/>
    </xf>
    <xf numFmtId="0" fontId="0" fillId="0" borderId="0" xfId="0" applyFill="1"/>
    <xf numFmtId="0" fontId="0" fillId="0" borderId="0" xfId="0" applyFill="1" applyAlignment="1">
      <alignment horizontal="right"/>
    </xf>
    <xf numFmtId="0" fontId="2" fillId="0" borderId="0" xfId="0" applyFont="1" applyFill="1"/>
    <xf numFmtId="164" fontId="0" fillId="0" borderId="0" xfId="0" applyNumberFormat="1" applyFill="1" applyBorder="1"/>
    <xf numFmtId="0" fontId="0" fillId="0" borderId="0" xfId="0" applyFill="1" applyAlignment="1">
      <alignment horizontal="left"/>
    </xf>
    <xf numFmtId="165" fontId="0" fillId="0" borderId="2" xfId="0" applyNumberFormat="1" applyFill="1" applyBorder="1" applyAlignment="1">
      <alignment horizontal="right" vertical="center"/>
    </xf>
    <xf numFmtId="165" fontId="0" fillId="0" borderId="1" xfId="0" applyNumberFormat="1" applyFill="1" applyBorder="1" applyAlignment="1">
      <alignment horizontal="right" vertical="center"/>
    </xf>
    <xf numFmtId="0" fontId="4" fillId="0" borderId="0" xfId="0" applyFont="1" applyFill="1"/>
    <xf numFmtId="0" fontId="4" fillId="0" borderId="0" xfId="0" applyFont="1" applyFill="1" applyAlignment="1">
      <alignment horizontal="right"/>
    </xf>
    <xf numFmtId="0" fontId="5" fillId="0" borderId="0" xfId="0" applyFont="1" applyFill="1"/>
    <xf numFmtId="0" fontId="6" fillId="0" borderId="0" xfId="0" applyFont="1" applyFill="1"/>
    <xf numFmtId="0" fontId="7" fillId="0" borderId="0" xfId="0" applyFont="1" applyFill="1"/>
    <xf numFmtId="165" fontId="2" fillId="0" borderId="0" xfId="0" applyNumberFormat="1" applyFont="1" applyFill="1" applyBorder="1" applyAlignment="1">
      <alignment horizontal="right"/>
    </xf>
    <xf numFmtId="0" fontId="2" fillId="0" borderId="0" xfId="0" applyFont="1" applyFill="1" applyAlignment="1">
      <alignment horizontal="right"/>
    </xf>
    <xf numFmtId="165" fontId="0" fillId="0" borderId="0" xfId="0" applyNumberFormat="1" applyFill="1" applyBorder="1" applyAlignment="1">
      <alignment horizontal="right" vertical="center"/>
    </xf>
    <xf numFmtId="0" fontId="6" fillId="4" borderId="1" xfId="0" applyFont="1" applyFill="1" applyBorder="1"/>
    <xf numFmtId="9" fontId="6" fillId="3" borderId="1" xfId="1" applyFont="1" applyFill="1" applyBorder="1" applyAlignment="1">
      <alignment horizontal="center"/>
    </xf>
    <xf numFmtId="165" fontId="6" fillId="0" borderId="0" xfId="0" applyNumberFormat="1" applyFont="1" applyFill="1" applyBorder="1" applyAlignment="1">
      <alignment horizontal="right"/>
    </xf>
    <xf numFmtId="0" fontId="8" fillId="0" borderId="0" xfId="0" applyFont="1" applyFill="1"/>
    <xf numFmtId="0" fontId="8" fillId="0" borderId="0" xfId="0" applyFont="1" applyFill="1" applyAlignment="1">
      <alignment horizontal="left"/>
    </xf>
    <xf numFmtId="0" fontId="8" fillId="0" borderId="0" xfId="0" applyFont="1"/>
    <xf numFmtId="0" fontId="5" fillId="4" borderId="1" xfId="0" applyFont="1" applyFill="1" applyBorder="1" applyAlignment="1">
      <alignment horizontal="left"/>
    </xf>
    <xf numFmtId="9" fontId="5" fillId="3" borderId="1" xfId="1" applyFont="1" applyFill="1" applyBorder="1" applyAlignment="1">
      <alignment horizontal="center"/>
    </xf>
    <xf numFmtId="165" fontId="5" fillId="0" borderId="0" xfId="0" applyNumberFormat="1" applyFont="1" applyFill="1" applyBorder="1" applyAlignment="1">
      <alignment horizontal="right" vertical="center"/>
    </xf>
    <xf numFmtId="164" fontId="4" fillId="0" borderId="0" xfId="0" applyNumberFormat="1" applyFont="1" applyFill="1" applyBorder="1" applyAlignment="1">
      <alignment horizontal="center"/>
    </xf>
    <xf numFmtId="0" fontId="4" fillId="0" borderId="0" xfId="0" applyFont="1"/>
    <xf numFmtId="0" fontId="5" fillId="4" borderId="2" xfId="0" applyFont="1" applyFill="1" applyBorder="1" applyAlignment="1">
      <alignment horizontal="left"/>
    </xf>
    <xf numFmtId="0" fontId="5" fillId="4" borderId="2" xfId="0" applyFont="1" applyFill="1" applyBorder="1" applyAlignment="1">
      <alignment horizontal="left" vertical="center"/>
    </xf>
    <xf numFmtId="164" fontId="4" fillId="0" borderId="0" xfId="0" applyNumberFormat="1" applyFont="1" applyFill="1" applyBorder="1"/>
    <xf numFmtId="0" fontId="5" fillId="4" borderId="1" xfId="0" applyFont="1" applyFill="1" applyBorder="1"/>
    <xf numFmtId="165" fontId="4" fillId="0" borderId="0" xfId="0" applyNumberFormat="1" applyFont="1" applyFill="1" applyAlignment="1">
      <alignment horizontal="right"/>
    </xf>
    <xf numFmtId="0" fontId="6" fillId="4" borderId="0" xfId="0" applyFont="1" applyFill="1"/>
    <xf numFmtId="0" fontId="4" fillId="0" borderId="0" xfId="0" applyFont="1" applyFill="1" applyAlignment="1">
      <alignment horizontal="center"/>
    </xf>
    <xf numFmtId="165" fontId="2" fillId="0" borderId="0" xfId="0" applyNumberFormat="1" applyFont="1" applyFill="1" applyBorder="1" applyAlignment="1">
      <alignment horizontal="center" vertical="center"/>
    </xf>
    <xf numFmtId="0" fontId="2" fillId="0" borderId="0" xfId="0" applyFont="1" applyFill="1" applyAlignment="1">
      <alignment horizontal="center"/>
    </xf>
    <xf numFmtId="0" fontId="5" fillId="4" borderId="3" xfId="0" applyFont="1" applyFill="1" applyBorder="1"/>
    <xf numFmtId="9" fontId="5" fillId="4" borderId="3" xfId="1" applyFont="1" applyFill="1" applyBorder="1" applyAlignment="1">
      <alignment horizontal="center"/>
    </xf>
    <xf numFmtId="165" fontId="5" fillId="4" borderId="0" xfId="0" applyNumberFormat="1" applyFont="1" applyFill="1" applyAlignment="1">
      <alignment horizontal="right"/>
    </xf>
    <xf numFmtId="0" fontId="6" fillId="3" borderId="0" xfId="0" applyFont="1" applyFill="1" applyAlignment="1">
      <alignment horizontal="left"/>
    </xf>
    <xf numFmtId="14" fontId="6" fillId="3" borderId="0" xfId="0" applyNumberFormat="1" applyFont="1" applyFill="1" applyAlignment="1">
      <alignment horizontal="left"/>
    </xf>
    <xf numFmtId="9" fontId="6" fillId="3" borderId="0" xfId="0" applyNumberFormat="1" applyFont="1" applyFill="1" applyAlignment="1">
      <alignment horizontal="left"/>
    </xf>
    <xf numFmtId="0" fontId="4" fillId="0" borderId="0" xfId="0" applyFont="1" applyFill="1" applyAlignment="1">
      <alignment horizontal="left"/>
    </xf>
    <xf numFmtId="0" fontId="6" fillId="4" borderId="0" xfId="0" applyFont="1" applyFill="1" applyAlignment="1">
      <alignment horizontal="left"/>
    </xf>
    <xf numFmtId="0" fontId="5" fillId="4" borderId="1" xfId="0" applyFont="1" applyFill="1" applyBorder="1" applyAlignment="1">
      <alignment horizontal="center"/>
    </xf>
    <xf numFmtId="0" fontId="5" fillId="0" borderId="1" xfId="0" applyFont="1" applyFill="1" applyBorder="1"/>
    <xf numFmtId="0" fontId="4" fillId="0" borderId="1" xfId="0" applyFont="1" applyBorder="1" applyAlignment="1">
      <alignment horizontal="center"/>
    </xf>
    <xf numFmtId="166" fontId="4" fillId="0" borderId="1" xfId="0" applyNumberFormat="1" applyFont="1" applyBorder="1" applyAlignment="1">
      <alignment horizontal="center"/>
    </xf>
    <xf numFmtId="9" fontId="4" fillId="0" borderId="1" xfId="1" applyFont="1" applyBorder="1" applyAlignment="1">
      <alignment horizontal="center"/>
    </xf>
    <xf numFmtId="0" fontId="6" fillId="4" borderId="1" xfId="0" applyFont="1" applyFill="1" applyBorder="1" applyAlignment="1">
      <alignment horizontal="center"/>
    </xf>
    <xf numFmtId="0" fontId="5" fillId="4" borderId="4" xfId="0" applyFont="1" applyFill="1" applyBorder="1" applyAlignment="1">
      <alignment wrapText="1"/>
    </xf>
    <xf numFmtId="0" fontId="6" fillId="4" borderId="5" xfId="0" applyFont="1" applyFill="1" applyBorder="1" applyAlignment="1">
      <alignment horizontal="center" vertical="center"/>
    </xf>
    <xf numFmtId="0" fontId="1" fillId="0" borderId="1" xfId="0" applyFont="1" applyFill="1" applyBorder="1" applyAlignment="1">
      <alignment horizontal="justify" wrapText="1"/>
    </xf>
    <xf numFmtId="0" fontId="1" fillId="0" borderId="0" xfId="0" applyFont="1" applyFill="1"/>
    <xf numFmtId="14" fontId="5" fillId="3" borderId="0" xfId="0" applyNumberFormat="1" applyFont="1" applyFill="1" applyAlignment="1">
      <alignment horizontal="left"/>
    </xf>
    <xf numFmtId="0" fontId="5" fillId="3" borderId="0" xfId="0" applyFont="1" applyFill="1" applyAlignment="1">
      <alignment horizontal="left"/>
    </xf>
  </cellXfs>
  <cellStyles count="2">
    <cellStyle name="Normal" xfId="0" builtinId="0"/>
    <cellStyle name="Porcentaje" xfId="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theme" Target="theme/theme1.xml" /><Relationship Id="rId5" Type="http://schemas.openxmlformats.org/officeDocument/2006/relationships/worksheet" Target="worksheets/sheet5.xml" /><Relationship Id="rId4" Type="http://schemas.openxmlformats.org/officeDocument/2006/relationships/worksheet" Target="worksheets/sheet4.xml" /><Relationship Id="rId9"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 /><Relationship Id="rId1" Type="http://schemas.openxmlformats.org/officeDocument/2006/relationships/vmlDrawing" Target="../drawings/vmlDrawing3.vml" /></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 /><Relationship Id="rId1"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3"/>
  <sheetViews>
    <sheetView tabSelected="1" workbookViewId="0" xr3:uid="{AEA406A1-0E4B-5B11-9CD5-51D6E497D94C}">
      <selection activeCell="D16" sqref="D16"/>
    </sheetView>
  </sheetViews>
  <sheetFormatPr defaultColWidth="10.78515625" defaultRowHeight="12.75" x14ac:dyDescent="0.15"/>
  <cols>
    <col min="1" max="1" width="13.484375" bestFit="1" customWidth="1"/>
    <col min="2" max="5" width="22.11328125" customWidth="1"/>
  </cols>
  <sheetData>
    <row r="2" spans="1:6" ht="14.25" x14ac:dyDescent="0.15">
      <c r="A2" s="32" t="s">
        <v>1</v>
      </c>
      <c r="B2" s="46" t="s">
        <v>28</v>
      </c>
      <c r="C2" s="46" t="s">
        <v>29</v>
      </c>
      <c r="D2" s="46" t="s">
        <v>30</v>
      </c>
      <c r="E2" s="46" t="s">
        <v>31</v>
      </c>
      <c r="F2" s="28"/>
    </row>
    <row r="3" spans="1:6" ht="14.25" x14ac:dyDescent="0.15">
      <c r="A3" s="47" t="s">
        <v>13</v>
      </c>
      <c r="B3" s="48" t="str">
        <f>+'P1'!B4</f>
        <v>Project 1</v>
      </c>
      <c r="C3" s="48" t="str">
        <f>+'P2'!B4</f>
        <v>Project 2</v>
      </c>
      <c r="D3" s="48" t="str">
        <f>+'P3'!B4</f>
        <v>Project 3</v>
      </c>
      <c r="E3" s="48" t="str">
        <f>+'P4'!B4</f>
        <v>Project 4</v>
      </c>
      <c r="F3" s="28"/>
    </row>
    <row r="4" spans="1:6" ht="14.25" x14ac:dyDescent="0.15">
      <c r="A4" s="47" t="s">
        <v>14</v>
      </c>
      <c r="B4" s="48" t="str">
        <f>+'P1'!B5</f>
        <v>Project Contributor</v>
      </c>
      <c r="C4" s="48" t="str">
        <f>+'P2'!B5</f>
        <v>Supervisor</v>
      </c>
      <c r="D4" s="48" t="str">
        <f>+'P3'!B5</f>
        <v>Project Leader</v>
      </c>
      <c r="E4" s="48" t="str">
        <f>+'P4'!B5</f>
        <v>Project Manager</v>
      </c>
      <c r="F4" s="28"/>
    </row>
    <row r="5" spans="1:6" ht="14.25" x14ac:dyDescent="0.15">
      <c r="A5" s="47" t="s">
        <v>15</v>
      </c>
      <c r="B5" s="48" t="str">
        <f>+'P1'!B6</f>
        <v>Construction</v>
      </c>
      <c r="C5" s="48" t="str">
        <f>+'P2'!B6</f>
        <v>Engineering</v>
      </c>
      <c r="D5" s="48" t="str">
        <f>+'P3'!B6</f>
        <v>IT/Software</v>
      </c>
      <c r="E5" s="48" t="str">
        <f>+'P4'!B6</f>
        <v>Manufacturing</v>
      </c>
      <c r="F5" s="28"/>
    </row>
    <row r="6" spans="1:6" ht="14.25" x14ac:dyDescent="0.15">
      <c r="A6" s="47" t="s">
        <v>16</v>
      </c>
      <c r="B6" s="49">
        <f>+'P1'!B7</f>
        <v>40544</v>
      </c>
      <c r="C6" s="49">
        <f>+'P2'!B7</f>
        <v>40179</v>
      </c>
      <c r="D6" s="49">
        <f>+'P3'!B7</f>
        <v>39814</v>
      </c>
      <c r="E6" s="49">
        <f>+'P4'!B7</f>
        <v>39448</v>
      </c>
      <c r="F6" s="28"/>
    </row>
    <row r="7" spans="1:6" ht="14.25" x14ac:dyDescent="0.15">
      <c r="A7" s="47" t="s">
        <v>17</v>
      </c>
      <c r="B7" s="49">
        <f>+'P1'!B8</f>
        <v>40909</v>
      </c>
      <c r="C7" s="49">
        <f>+'P2'!B8</f>
        <v>40544</v>
      </c>
      <c r="D7" s="49">
        <f>+'P3'!B8</f>
        <v>40179</v>
      </c>
      <c r="E7" s="49">
        <f>+'P4'!B8</f>
        <v>39814</v>
      </c>
      <c r="F7" s="28"/>
    </row>
    <row r="8" spans="1:6" ht="14.25" x14ac:dyDescent="0.15">
      <c r="A8" s="47" t="s">
        <v>19</v>
      </c>
      <c r="B8" s="50">
        <f>+'P1'!B11</f>
        <v>1</v>
      </c>
      <c r="C8" s="50">
        <f>+'P2'!B11</f>
        <v>0.8</v>
      </c>
      <c r="D8" s="50">
        <f>+'P3'!B11</f>
        <v>0.5</v>
      </c>
      <c r="E8" s="50">
        <f>+'P4'!B11</f>
        <v>0.2</v>
      </c>
      <c r="F8" s="28"/>
    </row>
    <row r="9" spans="1:6" ht="14.25" x14ac:dyDescent="0.15">
      <c r="A9" s="47" t="s">
        <v>20</v>
      </c>
      <c r="B9" s="48">
        <f>+'P1'!B12</f>
        <v>365</v>
      </c>
      <c r="C9" s="48">
        <f>+'P2'!B12</f>
        <v>365</v>
      </c>
      <c r="D9" s="48">
        <f>+'P3'!B12</f>
        <v>365</v>
      </c>
      <c r="E9" s="48">
        <f>+'P4'!B12</f>
        <v>366</v>
      </c>
      <c r="F9" s="28"/>
    </row>
    <row r="10" spans="1:6" ht="14.25" x14ac:dyDescent="0.15">
      <c r="A10" s="47" t="s">
        <v>21</v>
      </c>
      <c r="B10" s="48">
        <f>+'P1'!B13</f>
        <v>256</v>
      </c>
      <c r="C10" s="48">
        <f>+'P2'!B13</f>
        <v>256</v>
      </c>
      <c r="D10" s="48">
        <f>+'P3'!B13</f>
        <v>256</v>
      </c>
      <c r="E10" s="48">
        <f>+'P4'!B13</f>
        <v>256</v>
      </c>
      <c r="F10" s="28"/>
    </row>
    <row r="11" spans="1:6" ht="14.25" x14ac:dyDescent="0.15">
      <c r="A11" s="18" t="s">
        <v>33</v>
      </c>
      <c r="B11" s="51">
        <f>+'P1'!B14</f>
        <v>2048</v>
      </c>
      <c r="C11" s="51">
        <f>+'P2'!B14</f>
        <v>1638</v>
      </c>
      <c r="D11" s="51">
        <f>+'P3'!B14</f>
        <v>1024</v>
      </c>
      <c r="E11" s="51">
        <f>+'P4'!B14</f>
        <v>410</v>
      </c>
      <c r="F11" s="28"/>
    </row>
    <row r="12" spans="1:6" ht="15" thickBot="1" x14ac:dyDescent="0.2">
      <c r="A12" s="28"/>
      <c r="B12" s="28"/>
      <c r="C12" s="28"/>
      <c r="D12" s="28"/>
      <c r="E12" s="28"/>
      <c r="F12" s="28"/>
    </row>
    <row r="13" spans="1:6" ht="29.25" thickBot="1" x14ac:dyDescent="0.2">
      <c r="A13" s="52" t="s">
        <v>32</v>
      </c>
      <c r="B13" s="53">
        <f>+SUM(B11:E11)</f>
        <v>5120</v>
      </c>
    </row>
  </sheetData>
  <phoneticPr fontId="9" type="noConversion"/>
  <pageMargins left="0.75" right="0.75" top="1" bottom="1" header="0" footer="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4"/>
  <sheetViews>
    <sheetView zoomScaleSheetLayoutView="100" workbookViewId="0" xr3:uid="{958C4451-9541-5A59-BF78-D2F731DF1C81}">
      <selection activeCell="B10" sqref="B10"/>
    </sheetView>
  </sheetViews>
  <sheetFormatPr defaultColWidth="10.78515625" defaultRowHeight="12.75" x14ac:dyDescent="0.15"/>
  <cols>
    <col min="1" max="1" width="13.078125" bestFit="1" customWidth="1"/>
    <col min="2" max="2" width="96.1484375" bestFit="1" customWidth="1"/>
    <col min="3" max="3" width="11.19140625" style="2" bestFit="1" customWidth="1"/>
    <col min="4" max="4" width="11.32421875" style="2" bestFit="1" customWidth="1"/>
    <col min="5" max="5" width="16.5859375" style="2" bestFit="1" customWidth="1"/>
    <col min="6" max="6" width="20.08984375" style="1" bestFit="1" customWidth="1"/>
    <col min="7" max="7" width="2.96484375" customWidth="1"/>
    <col min="8" max="8" width="11.4609375" bestFit="1" customWidth="1"/>
  </cols>
  <sheetData>
    <row r="1" spans="1:8" x14ac:dyDescent="0.15">
      <c r="A1" s="3"/>
      <c r="B1" s="14" t="s">
        <v>18</v>
      </c>
      <c r="C1" s="4"/>
      <c r="D1" s="4"/>
      <c r="E1" s="5" t="s">
        <v>56</v>
      </c>
      <c r="F1" s="5" t="s">
        <v>57</v>
      </c>
      <c r="G1" s="3"/>
      <c r="H1" s="3"/>
    </row>
    <row r="2" spans="1:8" ht="14.25" x14ac:dyDescent="0.15">
      <c r="A2" s="10"/>
      <c r="B2" s="10"/>
      <c r="C2" s="11"/>
      <c r="D2" s="11"/>
      <c r="E2" s="3" t="s">
        <v>7</v>
      </c>
      <c r="F2" s="55" t="s">
        <v>48</v>
      </c>
      <c r="G2" s="3"/>
      <c r="H2" s="3"/>
    </row>
    <row r="3" spans="1:8" ht="14.25" x14ac:dyDescent="0.15">
      <c r="A3" s="12" t="s">
        <v>24</v>
      </c>
      <c r="B3" s="10"/>
      <c r="C3" s="11"/>
      <c r="D3" s="11"/>
      <c r="E3" s="3" t="s">
        <v>2</v>
      </c>
      <c r="F3" s="55" t="s">
        <v>49</v>
      </c>
      <c r="G3" s="3"/>
      <c r="H3" s="3"/>
    </row>
    <row r="4" spans="1:8" ht="14.25" x14ac:dyDescent="0.15">
      <c r="A4" s="12" t="s">
        <v>13</v>
      </c>
      <c r="B4" s="57" t="s">
        <v>61</v>
      </c>
      <c r="C4" s="11"/>
      <c r="D4" s="11"/>
      <c r="E4" s="55" t="s">
        <v>46</v>
      </c>
      <c r="F4" s="55" t="s">
        <v>50</v>
      </c>
      <c r="G4" s="3"/>
      <c r="H4" s="3"/>
    </row>
    <row r="5" spans="1:8" ht="14.25" x14ac:dyDescent="0.15">
      <c r="A5" s="12" t="s">
        <v>14</v>
      </c>
      <c r="B5" s="41" t="s">
        <v>7</v>
      </c>
      <c r="C5" s="11"/>
      <c r="D5" s="11"/>
      <c r="E5" s="55" t="s">
        <v>39</v>
      </c>
      <c r="F5" s="55" t="s">
        <v>58</v>
      </c>
      <c r="G5" s="3"/>
      <c r="H5" s="3"/>
    </row>
    <row r="6" spans="1:8" ht="14.25" x14ac:dyDescent="0.15">
      <c r="A6" s="12" t="s">
        <v>15</v>
      </c>
      <c r="B6" s="41" t="s">
        <v>8</v>
      </c>
      <c r="C6" s="11"/>
      <c r="D6" s="11"/>
      <c r="E6" s="55" t="s">
        <v>3</v>
      </c>
      <c r="F6" s="55" t="s">
        <v>8</v>
      </c>
      <c r="G6" s="3"/>
      <c r="H6" s="3"/>
    </row>
    <row r="7" spans="1:8" ht="14.25" x14ac:dyDescent="0.15">
      <c r="A7" s="13" t="s">
        <v>16</v>
      </c>
      <c r="B7" s="42">
        <v>40544</v>
      </c>
      <c r="C7" s="11"/>
      <c r="D7" s="11"/>
      <c r="E7" s="55" t="s">
        <v>4</v>
      </c>
      <c r="F7" s="55" t="s">
        <v>12</v>
      </c>
      <c r="G7" s="3"/>
      <c r="H7" s="3"/>
    </row>
    <row r="8" spans="1:8" ht="14.25" x14ac:dyDescent="0.15">
      <c r="A8" s="13" t="s">
        <v>17</v>
      </c>
      <c r="B8" s="42">
        <v>40909</v>
      </c>
      <c r="C8" s="11"/>
      <c r="D8" s="11"/>
      <c r="E8" s="55" t="s">
        <v>5</v>
      </c>
      <c r="F8" s="55" t="s">
        <v>51</v>
      </c>
      <c r="G8" s="3"/>
      <c r="H8" s="3"/>
    </row>
    <row r="9" spans="1:8" ht="14.25" x14ac:dyDescent="0.15">
      <c r="A9" s="13" t="s">
        <v>23</v>
      </c>
      <c r="B9" s="56" t="s">
        <v>62</v>
      </c>
      <c r="C9" s="11"/>
      <c r="D9" s="11"/>
      <c r="E9" s="55" t="s">
        <v>6</v>
      </c>
      <c r="F9" s="55" t="s">
        <v>9</v>
      </c>
      <c r="G9" s="3"/>
      <c r="H9" s="3"/>
    </row>
    <row r="10" spans="1:8" ht="14.25" x14ac:dyDescent="0.15">
      <c r="A10" s="13"/>
      <c r="B10" s="13"/>
      <c r="C10" s="11"/>
      <c r="D10" s="11"/>
      <c r="E10" s="55" t="s">
        <v>47</v>
      </c>
      <c r="F10" s="55" t="s">
        <v>52</v>
      </c>
      <c r="G10" s="3"/>
      <c r="H10" s="3"/>
    </row>
    <row r="11" spans="1:8" ht="14.25" x14ac:dyDescent="0.15">
      <c r="A11" s="13" t="s">
        <v>19</v>
      </c>
      <c r="B11" s="43">
        <v>1</v>
      </c>
      <c r="C11" s="11"/>
      <c r="D11" s="11"/>
      <c r="E11" s="3"/>
      <c r="F11" s="55" t="s">
        <v>53</v>
      </c>
      <c r="G11" s="3"/>
      <c r="H11" s="3"/>
    </row>
    <row r="12" spans="1:8" ht="14.25" x14ac:dyDescent="0.15">
      <c r="A12" s="13" t="s">
        <v>20</v>
      </c>
      <c r="B12" s="44">
        <f>+B8-B7</f>
        <v>365</v>
      </c>
      <c r="C12" s="11"/>
      <c r="D12" s="11"/>
      <c r="E12" s="3"/>
      <c r="F12" s="55" t="s">
        <v>54</v>
      </c>
      <c r="G12" s="3"/>
      <c r="H12" s="3"/>
    </row>
    <row r="13" spans="1:8" ht="14.25" x14ac:dyDescent="0.15">
      <c r="A13" s="13" t="s">
        <v>21</v>
      </c>
      <c r="B13" s="44">
        <f>ROUND(70%*B12,0)</f>
        <v>256</v>
      </c>
      <c r="C13" s="11"/>
      <c r="D13" s="11"/>
      <c r="E13" s="3"/>
      <c r="F13" s="55" t="s">
        <v>55</v>
      </c>
      <c r="G13" s="3"/>
      <c r="H13" s="3"/>
    </row>
    <row r="14" spans="1:8" ht="14.25" x14ac:dyDescent="0.15">
      <c r="A14" s="34" t="s">
        <v>33</v>
      </c>
      <c r="B14" s="45">
        <f>+ROUND(B11*B13*8,0)</f>
        <v>2048</v>
      </c>
      <c r="C14" s="11"/>
      <c r="D14" s="11"/>
      <c r="E14" s="3"/>
      <c r="F14" s="3"/>
      <c r="G14" s="3"/>
      <c r="H14" s="3"/>
    </row>
    <row r="15" spans="1:8" x14ac:dyDescent="0.15">
      <c r="A15" s="3"/>
      <c r="B15" s="3"/>
      <c r="C15" s="4"/>
      <c r="D15" s="4"/>
      <c r="E15" s="3"/>
      <c r="F15" s="3"/>
      <c r="G15" s="3"/>
      <c r="H15" s="3"/>
    </row>
    <row r="16" spans="1:8" x14ac:dyDescent="0.15">
      <c r="A16" s="3"/>
      <c r="B16" s="37" t="s">
        <v>60</v>
      </c>
      <c r="C16" s="16" t="s">
        <v>19</v>
      </c>
      <c r="D16" s="37" t="s">
        <v>22</v>
      </c>
      <c r="E16" s="3"/>
      <c r="F16" s="3"/>
      <c r="G16" s="3"/>
      <c r="H16" s="3"/>
    </row>
    <row r="17" spans="1:9" s="23" customFormat="1" ht="14.25" x14ac:dyDescent="0.15">
      <c r="A17" s="13"/>
      <c r="B17" s="18" t="s">
        <v>34</v>
      </c>
      <c r="C17" s="19">
        <v>0.05</v>
      </c>
      <c r="D17" s="20">
        <f>+C17*B14</f>
        <v>102.4</v>
      </c>
      <c r="E17" s="21"/>
      <c r="F17" s="21"/>
      <c r="G17" s="21"/>
      <c r="H17" s="22"/>
      <c r="I17" s="23" t="s">
        <v>38</v>
      </c>
    </row>
    <row r="18" spans="1:9" ht="69.75" x14ac:dyDescent="0.15">
      <c r="A18" s="36"/>
      <c r="B18" s="54" t="s">
        <v>41</v>
      </c>
      <c r="C18" s="8"/>
      <c r="E18" s="17"/>
      <c r="F18" s="6"/>
      <c r="G18" s="3"/>
      <c r="H18" s="7"/>
    </row>
    <row r="19" spans="1:9" s="28" customFormat="1" ht="14.25" x14ac:dyDescent="0.15">
      <c r="A19" s="35"/>
      <c r="B19" s="24" t="s">
        <v>35</v>
      </c>
      <c r="C19" s="25">
        <v>0.2</v>
      </c>
      <c r="D19" s="26">
        <f>+C19*B14</f>
        <v>409.6</v>
      </c>
      <c r="E19" s="26"/>
      <c r="F19" s="27"/>
      <c r="G19" s="10"/>
      <c r="H19" s="10"/>
    </row>
    <row r="20" spans="1:9" ht="104.25" x14ac:dyDescent="0.15">
      <c r="A20" s="36"/>
      <c r="B20" s="54" t="s">
        <v>42</v>
      </c>
      <c r="C20" s="8"/>
      <c r="E20" s="17"/>
      <c r="F20" s="6"/>
      <c r="G20" s="3"/>
      <c r="H20" s="7"/>
    </row>
    <row r="21" spans="1:9" s="28" customFormat="1" ht="14.25" x14ac:dyDescent="0.15">
      <c r="A21" s="35"/>
      <c r="B21" s="29" t="s">
        <v>36</v>
      </c>
      <c r="C21" s="25">
        <v>0.55000000000000004</v>
      </c>
      <c r="D21" s="26">
        <f>+C21*B14</f>
        <v>1126.4000000000001</v>
      </c>
      <c r="E21" s="26"/>
      <c r="F21" s="27"/>
      <c r="G21" s="10"/>
      <c r="H21" s="10"/>
    </row>
    <row r="22" spans="1:9" ht="150" x14ac:dyDescent="0.15">
      <c r="A22" s="36"/>
      <c r="B22" s="54" t="s">
        <v>43</v>
      </c>
      <c r="C22" s="8"/>
      <c r="E22" s="17"/>
      <c r="F22" s="6"/>
      <c r="G22" s="3"/>
      <c r="H22" s="7"/>
    </row>
    <row r="23" spans="1:9" s="28" customFormat="1" ht="14.25" x14ac:dyDescent="0.15">
      <c r="A23" s="35"/>
      <c r="B23" s="30" t="s">
        <v>40</v>
      </c>
      <c r="C23" s="25">
        <v>0.15</v>
      </c>
      <c r="D23" s="26">
        <f>+C23*B14</f>
        <v>307.2</v>
      </c>
      <c r="E23" s="26"/>
      <c r="F23" s="31"/>
      <c r="G23" s="10"/>
      <c r="H23" s="10"/>
    </row>
    <row r="24" spans="1:9" ht="69.75" x14ac:dyDescent="0.15">
      <c r="A24" s="36"/>
      <c r="B24" s="54" t="s">
        <v>44</v>
      </c>
      <c r="C24" s="8"/>
      <c r="E24" s="17"/>
      <c r="F24" s="6"/>
      <c r="G24" s="3"/>
      <c r="H24" s="7"/>
    </row>
    <row r="25" spans="1:9" s="28" customFormat="1" ht="14.25" x14ac:dyDescent="0.15">
      <c r="A25" s="35"/>
      <c r="B25" s="32" t="s">
        <v>37</v>
      </c>
      <c r="C25" s="25">
        <v>0.05</v>
      </c>
      <c r="D25" s="26">
        <f>+C25*B14</f>
        <v>102.4</v>
      </c>
      <c r="E25" s="26"/>
      <c r="F25" s="31"/>
      <c r="G25" s="10"/>
      <c r="H25" s="10"/>
    </row>
    <row r="26" spans="1:9" ht="104.25" x14ac:dyDescent="0.15">
      <c r="A26" s="36"/>
      <c r="B26" s="54" t="s">
        <v>45</v>
      </c>
      <c r="C26" s="9"/>
      <c r="E26" s="17"/>
      <c r="F26" s="6"/>
      <c r="G26" s="3"/>
      <c r="H26" s="7"/>
    </row>
    <row r="27" spans="1:9" s="28" customFormat="1" ht="26.25" customHeight="1" x14ac:dyDescent="0.15">
      <c r="A27" s="10"/>
      <c r="B27" s="38" t="s">
        <v>0</v>
      </c>
      <c r="C27" s="39">
        <f>+C17+C19+C21+C23+C25</f>
        <v>1</v>
      </c>
      <c r="D27" s="40">
        <f>+D17+D19+D21+D23+D25</f>
        <v>2048</v>
      </c>
      <c r="E27" s="33"/>
      <c r="F27" s="10"/>
      <c r="G27" s="10"/>
      <c r="H27" s="10"/>
    </row>
    <row r="28" spans="1:9" x14ac:dyDescent="0.15">
      <c r="A28" s="3"/>
      <c r="D28" s="15"/>
      <c r="E28" s="15"/>
      <c r="F28" s="6"/>
      <c r="G28" s="3"/>
      <c r="H28" s="3"/>
    </row>
    <row r="29" spans="1:9" x14ac:dyDescent="0.15">
      <c r="A29" s="3"/>
      <c r="B29" s="3"/>
      <c r="C29" s="4"/>
      <c r="D29" s="4"/>
      <c r="E29" s="4"/>
      <c r="F29" s="3"/>
      <c r="G29" s="3"/>
      <c r="H29" s="3"/>
    </row>
    <row r="30" spans="1:9" x14ac:dyDescent="0.15">
      <c r="A30" s="3"/>
      <c r="B30" s="3"/>
      <c r="C30" s="4"/>
      <c r="D30" s="4"/>
      <c r="E30" s="4"/>
      <c r="F30" s="3"/>
      <c r="G30" s="3"/>
      <c r="H30" s="3"/>
    </row>
    <row r="31" spans="1:9" x14ac:dyDescent="0.15">
      <c r="A31" s="3"/>
      <c r="B31" s="3"/>
      <c r="C31" s="4"/>
      <c r="D31" s="4"/>
      <c r="E31" s="4"/>
      <c r="F31" s="3"/>
      <c r="G31" s="3"/>
      <c r="H31" s="3"/>
    </row>
    <row r="32" spans="1:9" x14ac:dyDescent="0.15">
      <c r="A32" s="3"/>
      <c r="B32" s="3"/>
      <c r="C32" s="4"/>
      <c r="D32" s="4"/>
      <c r="E32" s="4"/>
      <c r="F32" s="3"/>
      <c r="G32" s="3"/>
      <c r="H32" s="3"/>
    </row>
    <row r="33" spans="1:8" x14ac:dyDescent="0.15">
      <c r="A33" s="3"/>
      <c r="B33" s="3"/>
      <c r="C33" s="4"/>
      <c r="D33" s="4"/>
      <c r="E33" s="4"/>
      <c r="F33" s="3"/>
      <c r="G33" s="3"/>
      <c r="H33" s="3"/>
    </row>
    <row r="34" spans="1:8" x14ac:dyDescent="0.15">
      <c r="A34" s="3"/>
      <c r="B34" s="3"/>
      <c r="C34" s="4"/>
      <c r="D34" s="4"/>
      <c r="E34" s="4"/>
      <c r="F34" s="3"/>
      <c r="G34" s="3"/>
      <c r="H34" s="3"/>
    </row>
    <row r="35" spans="1:8" x14ac:dyDescent="0.15">
      <c r="A35" s="3"/>
      <c r="B35" s="3"/>
      <c r="C35" s="4"/>
      <c r="D35" s="4"/>
      <c r="E35" s="4"/>
      <c r="F35" s="3"/>
      <c r="G35" s="3"/>
      <c r="H35" s="3"/>
    </row>
    <row r="36" spans="1:8" x14ac:dyDescent="0.15">
      <c r="A36" s="3"/>
      <c r="B36" s="3"/>
      <c r="C36" s="4"/>
      <c r="D36" s="4"/>
      <c r="E36" s="4"/>
      <c r="F36" s="3"/>
      <c r="G36" s="3"/>
      <c r="H36" s="3"/>
    </row>
    <row r="37" spans="1:8" x14ac:dyDescent="0.15">
      <c r="A37" s="3"/>
      <c r="B37" s="3"/>
      <c r="C37" s="4"/>
      <c r="D37" s="4"/>
      <c r="E37" s="4"/>
      <c r="F37" s="3"/>
      <c r="G37" s="3"/>
      <c r="H37" s="3"/>
    </row>
    <row r="38" spans="1:8" x14ac:dyDescent="0.15">
      <c r="A38" s="3"/>
      <c r="B38" s="3"/>
      <c r="C38" s="4"/>
      <c r="D38" s="4"/>
      <c r="E38" s="4"/>
      <c r="F38" s="3"/>
      <c r="G38" s="3"/>
      <c r="H38" s="3"/>
    </row>
    <row r="39" spans="1:8" x14ac:dyDescent="0.15">
      <c r="A39" s="3"/>
      <c r="B39" s="3"/>
      <c r="C39" s="4"/>
      <c r="D39" s="4"/>
      <c r="E39" s="4"/>
      <c r="F39" s="3"/>
      <c r="G39" s="3"/>
      <c r="H39" s="3"/>
    </row>
    <row r="40" spans="1:8" x14ac:dyDescent="0.15">
      <c r="A40" s="3"/>
      <c r="B40" s="3"/>
      <c r="C40" s="4"/>
      <c r="D40" s="4"/>
      <c r="E40" s="4"/>
      <c r="F40" s="3"/>
      <c r="G40" s="3"/>
      <c r="H40" s="3"/>
    </row>
    <row r="41" spans="1:8" x14ac:dyDescent="0.15">
      <c r="A41" s="3"/>
      <c r="B41" s="3"/>
      <c r="C41" s="4"/>
      <c r="D41" s="4"/>
      <c r="E41" s="4"/>
      <c r="F41" s="3"/>
      <c r="G41" s="3"/>
      <c r="H41" s="3"/>
    </row>
    <row r="42" spans="1:8" x14ac:dyDescent="0.15">
      <c r="A42" s="3"/>
      <c r="B42" s="3"/>
      <c r="C42" s="4"/>
      <c r="D42" s="4"/>
      <c r="E42" s="4"/>
      <c r="F42" s="3"/>
      <c r="G42" s="3"/>
      <c r="H42" s="3"/>
    </row>
    <row r="43" spans="1:8" x14ac:dyDescent="0.15">
      <c r="A43" s="3"/>
      <c r="B43" s="3"/>
      <c r="C43" s="4"/>
      <c r="D43" s="4"/>
      <c r="E43" s="4"/>
      <c r="F43" s="3"/>
      <c r="G43" s="3"/>
      <c r="H43" s="3"/>
    </row>
    <row r="44" spans="1:8" x14ac:dyDescent="0.15">
      <c r="A44" s="3"/>
      <c r="B44" s="3"/>
      <c r="C44" s="4"/>
      <c r="D44" s="4"/>
      <c r="E44" s="4"/>
      <c r="F44" s="3"/>
      <c r="G44" s="3"/>
      <c r="H44" s="3"/>
    </row>
    <row r="45" spans="1:8" x14ac:dyDescent="0.15">
      <c r="A45" s="3"/>
      <c r="B45" s="3"/>
      <c r="C45" s="4"/>
      <c r="D45" s="4"/>
      <c r="E45" s="4"/>
      <c r="F45" s="3"/>
      <c r="G45" s="3"/>
      <c r="H45" s="3"/>
    </row>
    <row r="46" spans="1:8" x14ac:dyDescent="0.15">
      <c r="A46" s="3"/>
      <c r="B46" s="3"/>
      <c r="C46" s="4"/>
      <c r="D46" s="4"/>
      <c r="E46" s="4"/>
      <c r="F46" s="3"/>
      <c r="G46" s="3"/>
      <c r="H46" s="3"/>
    </row>
    <row r="47" spans="1:8" x14ac:dyDescent="0.15">
      <c r="A47" s="3"/>
      <c r="B47" s="3"/>
      <c r="C47" s="4"/>
      <c r="D47" s="4"/>
      <c r="E47" s="4"/>
      <c r="F47" s="3"/>
      <c r="G47" s="3"/>
      <c r="H47" s="3"/>
    </row>
    <row r="48" spans="1:8" x14ac:dyDescent="0.15">
      <c r="A48" s="3"/>
      <c r="B48" s="3"/>
      <c r="C48" s="4"/>
      <c r="D48" s="4"/>
      <c r="E48" s="4"/>
      <c r="F48" s="3"/>
      <c r="G48" s="3"/>
      <c r="H48" s="3"/>
    </row>
    <row r="49" spans="1:8" x14ac:dyDescent="0.15">
      <c r="A49" s="3"/>
      <c r="B49" s="3"/>
      <c r="C49" s="4"/>
      <c r="D49" s="4"/>
      <c r="E49" s="4"/>
      <c r="F49" s="3"/>
      <c r="G49" s="3"/>
      <c r="H49" s="3"/>
    </row>
    <row r="50" spans="1:8" x14ac:dyDescent="0.15">
      <c r="A50" s="3"/>
      <c r="B50" s="3"/>
      <c r="C50" s="4"/>
      <c r="D50" s="4"/>
      <c r="E50" s="4"/>
      <c r="F50" s="3"/>
      <c r="G50" s="3"/>
      <c r="H50" s="3"/>
    </row>
    <row r="51" spans="1:8" x14ac:dyDescent="0.15">
      <c r="A51" s="3"/>
      <c r="B51" s="3"/>
      <c r="C51" s="4"/>
      <c r="D51" s="4"/>
      <c r="E51" s="4"/>
      <c r="F51" s="3"/>
      <c r="G51" s="3"/>
      <c r="H51" s="3"/>
    </row>
    <row r="52" spans="1:8" x14ac:dyDescent="0.15">
      <c r="A52" s="3"/>
      <c r="B52" s="3"/>
      <c r="C52" s="4"/>
      <c r="D52" s="4"/>
      <c r="E52" s="4"/>
      <c r="F52" s="3"/>
      <c r="G52" s="3"/>
      <c r="H52" s="3"/>
    </row>
    <row r="53" spans="1:8" x14ac:dyDescent="0.15">
      <c r="A53" s="3"/>
      <c r="B53" s="3"/>
      <c r="C53" s="4"/>
      <c r="D53" s="4"/>
      <c r="E53" s="4"/>
      <c r="F53" s="3"/>
      <c r="G53" s="3"/>
      <c r="H53" s="3"/>
    </row>
    <row r="54" spans="1:8" x14ac:dyDescent="0.15">
      <c r="A54" s="3"/>
      <c r="B54" s="3"/>
      <c r="C54" s="4"/>
      <c r="D54" s="4"/>
      <c r="E54" s="4"/>
      <c r="F54" s="3"/>
      <c r="G54" s="3"/>
      <c r="H54" s="3"/>
    </row>
  </sheetData>
  <phoneticPr fontId="0" type="noConversion"/>
  <dataValidations count="2">
    <dataValidation type="list" errorStyle="warning" allowBlank="1" showInputMessage="1" showErrorMessage="1" error="If &quot;Other&quot; give more detail" sqref="B5" xr:uid="{00000000-0002-0000-0100-000000000000}">
      <formula1>#REF!</formula1>
    </dataValidation>
    <dataValidation type="list" errorStyle="warning" allowBlank="1" showInputMessage="1" showErrorMessage="1" error="If &quot;Other&quot; mention which one_x000d_ " sqref="B6" xr:uid="{00000000-0002-0000-0100-000001000000}">
      <formula1>#REF!</formula1>
    </dataValidation>
  </dataValidations>
  <pageMargins left="0.46" right="0.52" top="0.37" bottom="0.42" header="0" footer="0"/>
  <pageSetup paperSize="9" scale="72" orientation="portrait" horizontalDpi="1200" verticalDpi="1200"/>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3"/>
  <sheetViews>
    <sheetView zoomScaleSheetLayoutView="100" workbookViewId="0" xr3:uid="{842E5F09-E766-5B8D-85AF-A39847EA96FD}">
      <selection activeCell="B10" sqref="B10"/>
    </sheetView>
  </sheetViews>
  <sheetFormatPr defaultColWidth="10.78515625" defaultRowHeight="12.75" x14ac:dyDescent="0.15"/>
  <cols>
    <col min="1" max="1" width="13.078125" bestFit="1" customWidth="1"/>
    <col min="2" max="2" width="96.1484375" bestFit="1" customWidth="1"/>
    <col min="3" max="3" width="11.19140625" style="2" bestFit="1" customWidth="1"/>
    <col min="4" max="4" width="11.32421875" style="2" bestFit="1" customWidth="1"/>
    <col min="5" max="5" width="16.5859375" style="2" bestFit="1" customWidth="1"/>
    <col min="6" max="6" width="20.08984375" style="1" bestFit="1" customWidth="1"/>
    <col min="7" max="7" width="2.96484375" customWidth="1"/>
    <col min="8" max="8" width="11.4609375" bestFit="1" customWidth="1"/>
  </cols>
  <sheetData>
    <row r="1" spans="1:10" x14ac:dyDescent="0.15">
      <c r="A1" s="3"/>
      <c r="B1" s="14" t="s">
        <v>18</v>
      </c>
      <c r="C1" s="4"/>
      <c r="D1" s="4"/>
      <c r="E1" s="5" t="s">
        <v>56</v>
      </c>
      <c r="F1" s="5" t="s">
        <v>57</v>
      </c>
      <c r="G1" s="3"/>
      <c r="H1" s="3"/>
      <c r="I1" s="3"/>
      <c r="J1" s="5"/>
    </row>
    <row r="2" spans="1:10" ht="14.25" x14ac:dyDescent="0.15">
      <c r="A2" s="10"/>
      <c r="B2" s="10"/>
      <c r="C2" s="11"/>
      <c r="D2" s="11"/>
      <c r="E2" s="3" t="s">
        <v>7</v>
      </c>
      <c r="F2" s="55" t="s">
        <v>48</v>
      </c>
      <c r="G2" s="3"/>
      <c r="H2" s="3"/>
      <c r="I2" s="3"/>
      <c r="J2" s="5"/>
    </row>
    <row r="3" spans="1:10" ht="14.25" x14ac:dyDescent="0.15">
      <c r="A3" s="12" t="s">
        <v>25</v>
      </c>
      <c r="B3" s="10"/>
      <c r="C3" s="11"/>
      <c r="D3" s="11"/>
      <c r="E3" s="3" t="s">
        <v>2</v>
      </c>
      <c r="F3" s="55" t="s">
        <v>49</v>
      </c>
      <c r="G3" s="3"/>
      <c r="H3" s="3"/>
      <c r="I3" s="3"/>
      <c r="J3" s="5"/>
    </row>
    <row r="4" spans="1:10" ht="14.25" x14ac:dyDescent="0.15">
      <c r="A4" s="12" t="s">
        <v>13</v>
      </c>
      <c r="B4" s="57" t="s">
        <v>63</v>
      </c>
      <c r="C4" s="11"/>
      <c r="D4" s="11"/>
      <c r="E4" s="55" t="s">
        <v>46</v>
      </c>
      <c r="F4" s="55" t="s">
        <v>50</v>
      </c>
      <c r="G4" s="3"/>
      <c r="H4" s="3"/>
      <c r="I4" s="3"/>
      <c r="J4" s="5"/>
    </row>
    <row r="5" spans="1:10" ht="14.25" x14ac:dyDescent="0.15">
      <c r="A5" s="12" t="s">
        <v>14</v>
      </c>
      <c r="B5" s="41" t="s">
        <v>2</v>
      </c>
      <c r="C5" s="11"/>
      <c r="D5" s="11"/>
      <c r="E5" s="55" t="s">
        <v>39</v>
      </c>
      <c r="F5" s="55" t="s">
        <v>58</v>
      </c>
      <c r="G5" s="3"/>
      <c r="H5" s="3"/>
      <c r="I5" s="3"/>
      <c r="J5" s="5"/>
    </row>
    <row r="6" spans="1:10" ht="14.25" x14ac:dyDescent="0.15">
      <c r="A6" s="12" t="s">
        <v>15</v>
      </c>
      <c r="B6" s="41" t="s">
        <v>9</v>
      </c>
      <c r="C6" s="11"/>
      <c r="D6" s="11"/>
      <c r="E6" s="55" t="s">
        <v>3</v>
      </c>
      <c r="F6" s="55" t="s">
        <v>8</v>
      </c>
      <c r="G6" s="3"/>
      <c r="H6" s="3"/>
      <c r="I6" s="3"/>
      <c r="J6" s="5"/>
    </row>
    <row r="7" spans="1:10" ht="14.25" x14ac:dyDescent="0.15">
      <c r="A7" s="13" t="s">
        <v>16</v>
      </c>
      <c r="B7" s="42">
        <v>40179</v>
      </c>
      <c r="C7" s="11"/>
      <c r="D7" s="11"/>
      <c r="E7" s="55" t="s">
        <v>4</v>
      </c>
      <c r="F7" s="55" t="s">
        <v>12</v>
      </c>
      <c r="G7" s="3"/>
      <c r="H7" s="3"/>
      <c r="I7" s="3"/>
      <c r="J7" s="5"/>
    </row>
    <row r="8" spans="1:10" ht="14.25" x14ac:dyDescent="0.15">
      <c r="A8" s="13" t="s">
        <v>17</v>
      </c>
      <c r="B8" s="42">
        <v>40544</v>
      </c>
      <c r="C8" s="11"/>
      <c r="D8" s="11"/>
      <c r="E8" s="55" t="s">
        <v>5</v>
      </c>
      <c r="F8" s="55" t="s">
        <v>51</v>
      </c>
      <c r="G8" s="3"/>
      <c r="H8" s="3"/>
      <c r="I8" s="3"/>
      <c r="J8" s="5"/>
    </row>
    <row r="9" spans="1:10" ht="14.25" x14ac:dyDescent="0.15">
      <c r="A9" s="13" t="s">
        <v>23</v>
      </c>
      <c r="B9" s="56" t="s">
        <v>62</v>
      </c>
      <c r="C9" s="11"/>
      <c r="D9" s="11"/>
      <c r="E9" s="55" t="s">
        <v>6</v>
      </c>
      <c r="F9" s="55" t="s">
        <v>9</v>
      </c>
      <c r="G9" s="3"/>
      <c r="H9" s="3"/>
      <c r="I9" s="3"/>
      <c r="J9" s="5"/>
    </row>
    <row r="10" spans="1:10" ht="14.25" x14ac:dyDescent="0.15">
      <c r="A10" s="13"/>
      <c r="B10" s="13"/>
      <c r="C10" s="11"/>
      <c r="D10" s="11"/>
      <c r="E10" s="55" t="s">
        <v>47</v>
      </c>
      <c r="F10" s="55" t="s">
        <v>52</v>
      </c>
      <c r="G10" s="3"/>
      <c r="H10" s="3"/>
      <c r="I10" s="3"/>
      <c r="J10" s="5"/>
    </row>
    <row r="11" spans="1:10" ht="14.25" x14ac:dyDescent="0.15">
      <c r="A11" s="13" t="s">
        <v>19</v>
      </c>
      <c r="B11" s="43">
        <v>0.8</v>
      </c>
      <c r="C11" s="11"/>
      <c r="D11" s="11"/>
      <c r="E11" s="3"/>
      <c r="F11" s="55" t="s">
        <v>53</v>
      </c>
      <c r="G11" s="3"/>
      <c r="H11" s="3"/>
      <c r="I11" s="3"/>
      <c r="J11" s="5"/>
    </row>
    <row r="12" spans="1:10" ht="14.25" x14ac:dyDescent="0.15">
      <c r="A12" s="13" t="s">
        <v>20</v>
      </c>
      <c r="B12" s="44">
        <f>+B8-B7</f>
        <v>365</v>
      </c>
      <c r="C12" s="11"/>
      <c r="D12" s="11"/>
      <c r="E12" s="3"/>
      <c r="F12" s="55" t="s">
        <v>54</v>
      </c>
      <c r="G12" s="3"/>
      <c r="H12" s="3"/>
      <c r="I12" s="3"/>
      <c r="J12" s="5"/>
    </row>
    <row r="13" spans="1:10" ht="14.25" x14ac:dyDescent="0.15">
      <c r="A13" s="13" t="s">
        <v>21</v>
      </c>
      <c r="B13" s="44">
        <f>ROUND(70%*B12,0)</f>
        <v>256</v>
      </c>
      <c r="C13" s="11"/>
      <c r="D13" s="11"/>
      <c r="E13" s="3"/>
      <c r="F13" s="55" t="s">
        <v>55</v>
      </c>
      <c r="G13" s="3"/>
      <c r="H13" s="3"/>
      <c r="I13" s="3"/>
      <c r="J13" s="5"/>
    </row>
    <row r="14" spans="1:10" ht="14.25" x14ac:dyDescent="0.15">
      <c r="A14" s="34" t="s">
        <v>33</v>
      </c>
      <c r="B14" s="45">
        <f>+ROUND(B11*B13*8,0)</f>
        <v>1638</v>
      </c>
      <c r="C14" s="11"/>
      <c r="D14" s="11"/>
      <c r="E14" s="3"/>
      <c r="F14" s="3"/>
      <c r="G14" s="3"/>
      <c r="H14" s="3"/>
      <c r="I14" s="3"/>
      <c r="J14" s="5"/>
    </row>
    <row r="15" spans="1:10" x14ac:dyDescent="0.15">
      <c r="A15" s="3"/>
      <c r="B15" s="3"/>
      <c r="C15" s="4"/>
      <c r="D15" s="4"/>
      <c r="E15" s="3"/>
      <c r="F15" s="3"/>
      <c r="G15" s="3"/>
      <c r="H15" s="3"/>
      <c r="I15" s="3"/>
      <c r="J15" s="5"/>
    </row>
    <row r="16" spans="1:10" x14ac:dyDescent="0.15">
      <c r="A16" s="3"/>
      <c r="B16" s="37" t="s">
        <v>60</v>
      </c>
      <c r="C16" s="16" t="s">
        <v>19</v>
      </c>
      <c r="D16" s="37" t="s">
        <v>22</v>
      </c>
      <c r="E16" s="3"/>
      <c r="F16" s="3"/>
      <c r="G16" s="3"/>
      <c r="H16" s="3"/>
      <c r="I16" s="3"/>
      <c r="J16" s="3"/>
    </row>
    <row r="17" spans="1:12" s="23" customFormat="1" ht="14.25" x14ac:dyDescent="0.15">
      <c r="A17" s="13"/>
      <c r="B17" s="18" t="s">
        <v>34</v>
      </c>
      <c r="C17" s="19">
        <v>0.05</v>
      </c>
      <c r="D17" s="20">
        <f>+C17*B14</f>
        <v>81.900000000000006</v>
      </c>
      <c r="E17" s="21"/>
      <c r="F17" s="21"/>
      <c r="G17" s="21"/>
      <c r="H17" s="22"/>
      <c r="I17" s="21"/>
      <c r="J17" s="21"/>
      <c r="L17" s="23" t="s">
        <v>38</v>
      </c>
    </row>
    <row r="18" spans="1:12" ht="69.75" x14ac:dyDescent="0.15">
      <c r="A18" s="36"/>
      <c r="B18" s="54" t="s">
        <v>41</v>
      </c>
      <c r="C18" s="8"/>
      <c r="E18" s="17"/>
      <c r="F18" s="6"/>
      <c r="G18" s="3"/>
      <c r="H18" s="7"/>
      <c r="I18" s="3"/>
      <c r="J18" s="3"/>
    </row>
    <row r="19" spans="1:12" s="28" customFormat="1" ht="14.25" x14ac:dyDescent="0.15">
      <c r="A19" s="35"/>
      <c r="B19" s="24" t="s">
        <v>35</v>
      </c>
      <c r="C19" s="25">
        <v>0.2</v>
      </c>
      <c r="D19" s="26">
        <f>+C19*B14</f>
        <v>327.60000000000002</v>
      </c>
      <c r="E19" s="26"/>
      <c r="F19" s="27"/>
      <c r="G19" s="10"/>
      <c r="H19" s="10"/>
      <c r="I19" s="10"/>
      <c r="J19" s="10"/>
    </row>
    <row r="20" spans="1:12" ht="104.25" x14ac:dyDescent="0.15">
      <c r="A20" s="36"/>
      <c r="B20" s="54" t="s">
        <v>42</v>
      </c>
      <c r="C20" s="8"/>
      <c r="E20" s="17"/>
      <c r="F20" s="6"/>
      <c r="G20" s="3"/>
      <c r="H20" s="7"/>
      <c r="I20" s="3"/>
      <c r="J20" s="3"/>
    </row>
    <row r="21" spans="1:12" s="28" customFormat="1" ht="14.25" x14ac:dyDescent="0.15">
      <c r="A21" s="35"/>
      <c r="B21" s="29" t="s">
        <v>36</v>
      </c>
      <c r="C21" s="25">
        <v>0.55000000000000004</v>
      </c>
      <c r="D21" s="26">
        <f>+C21*B14</f>
        <v>900.90000000000009</v>
      </c>
      <c r="E21" s="26"/>
      <c r="F21" s="27"/>
      <c r="G21" s="10"/>
      <c r="H21" s="10"/>
      <c r="I21" s="10"/>
      <c r="J21" s="10"/>
    </row>
    <row r="22" spans="1:12" ht="150" x14ac:dyDescent="0.15">
      <c r="A22" s="36"/>
      <c r="B22" s="54" t="s">
        <v>43</v>
      </c>
      <c r="C22" s="8"/>
      <c r="E22" s="17"/>
      <c r="F22" s="6"/>
      <c r="G22" s="3"/>
      <c r="H22" s="7"/>
      <c r="I22" s="3"/>
      <c r="J22" s="3"/>
    </row>
    <row r="23" spans="1:12" s="28" customFormat="1" ht="14.25" x14ac:dyDescent="0.15">
      <c r="A23" s="35"/>
      <c r="B23" s="30" t="s">
        <v>40</v>
      </c>
      <c r="C23" s="25">
        <v>0.15</v>
      </c>
      <c r="D23" s="26">
        <f>+C23*B14</f>
        <v>245.7</v>
      </c>
      <c r="E23" s="26"/>
      <c r="F23" s="31"/>
      <c r="G23" s="10"/>
      <c r="H23" s="10"/>
      <c r="I23" s="10"/>
      <c r="J23" s="12"/>
    </row>
    <row r="24" spans="1:12" ht="69.75" x14ac:dyDescent="0.15">
      <c r="A24" s="36"/>
      <c r="B24" s="54" t="s">
        <v>44</v>
      </c>
      <c r="C24" s="8"/>
      <c r="E24" s="17"/>
      <c r="F24" s="6"/>
      <c r="G24" s="3"/>
      <c r="H24" s="7"/>
      <c r="I24" s="3"/>
      <c r="J24" s="3"/>
    </row>
    <row r="25" spans="1:12" s="28" customFormat="1" ht="14.25" x14ac:dyDescent="0.15">
      <c r="A25" s="35"/>
      <c r="B25" s="32" t="s">
        <v>37</v>
      </c>
      <c r="C25" s="25">
        <v>0.05</v>
      </c>
      <c r="D25" s="26">
        <f>+C25*B14</f>
        <v>81.900000000000006</v>
      </c>
      <c r="E25" s="26"/>
      <c r="F25" s="31"/>
      <c r="G25" s="10"/>
      <c r="H25" s="10"/>
      <c r="I25" s="10"/>
      <c r="J25" s="10"/>
    </row>
    <row r="26" spans="1:12" ht="104.25" x14ac:dyDescent="0.15">
      <c r="A26" s="36"/>
      <c r="B26" s="54" t="s">
        <v>45</v>
      </c>
      <c r="C26" s="9"/>
      <c r="E26" s="17"/>
      <c r="F26" s="6"/>
      <c r="G26" s="3"/>
      <c r="H26" s="7"/>
      <c r="I26" s="3"/>
      <c r="J26" s="3"/>
    </row>
    <row r="27" spans="1:12" s="28" customFormat="1" ht="26.25" customHeight="1" x14ac:dyDescent="0.15">
      <c r="A27" s="10"/>
      <c r="B27" s="38" t="s">
        <v>0</v>
      </c>
      <c r="C27" s="39">
        <f>+C17+C19+C21+C23+C25</f>
        <v>1</v>
      </c>
      <c r="D27" s="40">
        <f>+D17+D19+D21+D23+D25</f>
        <v>1638.0000000000002</v>
      </c>
      <c r="E27" s="33"/>
      <c r="F27" s="10"/>
      <c r="G27" s="10"/>
      <c r="H27" s="10"/>
      <c r="I27" s="10"/>
      <c r="J27" s="10"/>
    </row>
    <row r="28" spans="1:12" x14ac:dyDescent="0.15">
      <c r="A28" s="3"/>
      <c r="B28" s="3"/>
      <c r="C28" s="4"/>
      <c r="D28" s="4"/>
      <c r="E28" s="4"/>
      <c r="F28" s="3"/>
      <c r="G28" s="3"/>
      <c r="H28" s="3"/>
      <c r="I28" s="3"/>
      <c r="J28" s="3"/>
    </row>
    <row r="29" spans="1:12" x14ac:dyDescent="0.15">
      <c r="A29" s="3"/>
      <c r="B29" s="3"/>
      <c r="C29" s="4"/>
      <c r="D29" s="4"/>
      <c r="E29" s="4"/>
      <c r="F29" s="3"/>
      <c r="G29" s="3"/>
      <c r="H29" s="3"/>
      <c r="I29" s="3"/>
      <c r="J29" s="3"/>
    </row>
    <row r="30" spans="1:12" x14ac:dyDescent="0.15">
      <c r="A30" s="3"/>
      <c r="B30" s="3"/>
      <c r="C30" s="4"/>
      <c r="D30" s="4"/>
      <c r="E30" s="4"/>
      <c r="F30" s="3"/>
      <c r="G30" s="3"/>
      <c r="H30" s="3"/>
      <c r="I30" s="3"/>
      <c r="J30" s="3"/>
    </row>
    <row r="31" spans="1:12" x14ac:dyDescent="0.15">
      <c r="A31" s="3"/>
      <c r="B31" s="3"/>
      <c r="C31" s="4"/>
      <c r="D31" s="4"/>
      <c r="E31" s="4"/>
      <c r="F31" s="3"/>
      <c r="G31" s="3"/>
      <c r="H31" s="3"/>
      <c r="I31" s="3"/>
      <c r="J31" s="3"/>
    </row>
    <row r="32" spans="1:12" x14ac:dyDescent="0.15">
      <c r="A32" s="3"/>
      <c r="B32" s="3"/>
      <c r="C32" s="4"/>
      <c r="D32" s="4"/>
      <c r="E32" s="4"/>
      <c r="F32" s="3"/>
      <c r="G32" s="3"/>
      <c r="H32" s="3"/>
      <c r="I32" s="3"/>
      <c r="J32" s="3"/>
    </row>
    <row r="33" spans="1:10" x14ac:dyDescent="0.15">
      <c r="A33" s="3"/>
      <c r="B33" s="3"/>
      <c r="C33" s="4"/>
      <c r="D33" s="4"/>
      <c r="E33" s="4"/>
      <c r="F33" s="3"/>
      <c r="G33" s="3"/>
      <c r="H33" s="3"/>
      <c r="I33" s="3"/>
      <c r="J33" s="3"/>
    </row>
    <row r="34" spans="1:10" x14ac:dyDescent="0.15">
      <c r="A34" s="3"/>
      <c r="B34" s="3"/>
      <c r="C34" s="4"/>
      <c r="D34" s="4"/>
      <c r="E34" s="4"/>
      <c r="F34" s="3"/>
      <c r="G34" s="3"/>
      <c r="H34" s="3"/>
      <c r="I34" s="3"/>
      <c r="J34" s="3"/>
    </row>
    <row r="35" spans="1:10" x14ac:dyDescent="0.15">
      <c r="A35" s="3"/>
      <c r="B35" s="3"/>
      <c r="C35" s="4"/>
      <c r="D35" s="4"/>
      <c r="E35" s="4"/>
      <c r="F35" s="3"/>
      <c r="G35" s="3"/>
      <c r="H35" s="3"/>
      <c r="I35" s="3"/>
      <c r="J35" s="3"/>
    </row>
    <row r="36" spans="1:10" x14ac:dyDescent="0.15">
      <c r="A36" s="3"/>
      <c r="B36" s="3"/>
      <c r="C36" s="4"/>
      <c r="D36" s="4"/>
      <c r="E36" s="4"/>
      <c r="F36" s="3"/>
      <c r="G36" s="3"/>
      <c r="H36" s="3"/>
      <c r="I36" s="3"/>
      <c r="J36" s="3"/>
    </row>
    <row r="37" spans="1:10" x14ac:dyDescent="0.15">
      <c r="A37" s="3"/>
      <c r="B37" s="3"/>
      <c r="C37" s="4"/>
      <c r="D37" s="4"/>
      <c r="E37" s="4"/>
      <c r="F37" s="3"/>
      <c r="G37" s="3"/>
      <c r="H37" s="3"/>
      <c r="I37" s="3"/>
      <c r="J37" s="3"/>
    </row>
    <row r="38" spans="1:10" x14ac:dyDescent="0.15">
      <c r="A38" s="3"/>
      <c r="B38" s="3"/>
      <c r="C38" s="4"/>
      <c r="D38" s="4"/>
      <c r="E38" s="4"/>
      <c r="F38" s="3"/>
      <c r="G38" s="3"/>
      <c r="H38" s="3"/>
      <c r="I38" s="3"/>
      <c r="J38" s="3"/>
    </row>
    <row r="39" spans="1:10" x14ac:dyDescent="0.15">
      <c r="A39" s="3"/>
      <c r="B39" s="3"/>
      <c r="C39" s="4"/>
      <c r="D39" s="4"/>
      <c r="E39" s="4"/>
      <c r="F39" s="3"/>
      <c r="G39" s="3"/>
      <c r="H39" s="3"/>
      <c r="I39" s="3"/>
      <c r="J39" s="3"/>
    </row>
    <row r="40" spans="1:10" x14ac:dyDescent="0.15">
      <c r="A40" s="3"/>
      <c r="B40" s="3"/>
      <c r="C40" s="4"/>
      <c r="D40" s="4"/>
      <c r="E40" s="4"/>
      <c r="F40" s="3"/>
      <c r="G40" s="3"/>
      <c r="H40" s="3"/>
      <c r="I40" s="3"/>
      <c r="J40" s="3"/>
    </row>
    <row r="41" spans="1:10" x14ac:dyDescent="0.15">
      <c r="A41" s="3"/>
      <c r="B41" s="3"/>
      <c r="C41" s="4"/>
      <c r="D41" s="4"/>
      <c r="E41" s="4"/>
      <c r="F41" s="3"/>
      <c r="G41" s="3"/>
      <c r="H41" s="3"/>
      <c r="I41" s="3"/>
      <c r="J41" s="3"/>
    </row>
    <row r="42" spans="1:10" x14ac:dyDescent="0.15">
      <c r="A42" s="3"/>
      <c r="B42" s="3"/>
      <c r="C42" s="4"/>
      <c r="D42" s="4"/>
      <c r="E42" s="4"/>
      <c r="F42" s="3"/>
      <c r="G42" s="3"/>
      <c r="H42" s="3"/>
      <c r="I42" s="3"/>
      <c r="J42" s="3"/>
    </row>
    <row r="43" spans="1:10" x14ac:dyDescent="0.15">
      <c r="A43" s="3"/>
      <c r="B43" s="3"/>
      <c r="C43" s="4"/>
      <c r="D43" s="4"/>
      <c r="E43" s="4"/>
      <c r="F43" s="3"/>
      <c r="G43" s="3"/>
      <c r="H43" s="3"/>
      <c r="I43" s="3"/>
      <c r="J43" s="3"/>
    </row>
  </sheetData>
  <phoneticPr fontId="0" type="noConversion"/>
  <dataValidations count="2">
    <dataValidation type="list" errorStyle="warning" allowBlank="1" showInputMessage="1" showErrorMessage="1" error="If &quot;Other&quot; give more detail" sqref="B5" xr:uid="{00000000-0002-0000-0200-000000000000}">
      <formula1>#REF!</formula1>
    </dataValidation>
    <dataValidation type="list" errorStyle="warning" allowBlank="1" showInputMessage="1" showErrorMessage="1" error="If &quot;Other&quot; mention which one_x000d_ " sqref="B6" xr:uid="{00000000-0002-0000-0200-000001000000}">
      <formula1>#REF!</formula1>
    </dataValidation>
  </dataValidations>
  <pageMargins left="0.46" right="0.52" top="0.37" bottom="0.42" header="0" footer="0"/>
  <pageSetup paperSize="9" scale="71" orientation="portrait" horizontalDpi="1200" verticalDpi="1200"/>
  <legacyDrawing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43"/>
  <sheetViews>
    <sheetView zoomScaleSheetLayoutView="100" workbookViewId="0" xr3:uid="{51F8DEE0-4D01-5F28-A812-FC0BD7CAC4A5}">
      <selection activeCell="B10" sqref="B10"/>
    </sheetView>
  </sheetViews>
  <sheetFormatPr defaultColWidth="10.78515625" defaultRowHeight="12.75" x14ac:dyDescent="0.15"/>
  <cols>
    <col min="1" max="1" width="13.078125" bestFit="1" customWidth="1"/>
    <col min="2" max="2" width="96.1484375" bestFit="1" customWidth="1"/>
    <col min="3" max="3" width="11.19140625" style="2" bestFit="1" customWidth="1"/>
    <col min="4" max="4" width="11.32421875" style="2" bestFit="1" customWidth="1"/>
    <col min="5" max="5" width="16.5859375" style="2" bestFit="1" customWidth="1"/>
    <col min="6" max="6" width="20.08984375" style="1" bestFit="1" customWidth="1"/>
    <col min="7" max="7" width="2.96484375" customWidth="1"/>
    <col min="8" max="8" width="11.4609375" bestFit="1" customWidth="1"/>
  </cols>
  <sheetData>
    <row r="1" spans="1:10" x14ac:dyDescent="0.15">
      <c r="A1" s="3"/>
      <c r="B1" s="14" t="s">
        <v>18</v>
      </c>
      <c r="C1" s="4"/>
      <c r="D1" s="4"/>
      <c r="E1" s="5" t="s">
        <v>56</v>
      </c>
      <c r="F1" s="5" t="s">
        <v>57</v>
      </c>
      <c r="G1" s="3"/>
      <c r="H1" s="3"/>
      <c r="I1" s="3"/>
      <c r="J1" s="5"/>
    </row>
    <row r="2" spans="1:10" ht="14.25" x14ac:dyDescent="0.15">
      <c r="A2" s="10"/>
      <c r="B2" s="10"/>
      <c r="C2" s="11"/>
      <c r="D2" s="11"/>
      <c r="E2" s="3" t="s">
        <v>7</v>
      </c>
      <c r="F2" s="55" t="s">
        <v>48</v>
      </c>
      <c r="G2" s="3"/>
      <c r="H2" s="3"/>
      <c r="I2" s="3"/>
      <c r="J2" s="5"/>
    </row>
    <row r="3" spans="1:10" ht="14.25" x14ac:dyDescent="0.15">
      <c r="A3" s="12" t="s">
        <v>26</v>
      </c>
      <c r="B3" s="10"/>
      <c r="C3" s="11"/>
      <c r="D3" s="11"/>
      <c r="E3" s="3" t="s">
        <v>2</v>
      </c>
      <c r="F3" s="55" t="s">
        <v>49</v>
      </c>
      <c r="G3" s="3"/>
      <c r="H3" s="3"/>
      <c r="I3" s="3"/>
      <c r="J3" s="5"/>
    </row>
    <row r="4" spans="1:10" ht="14.25" x14ac:dyDescent="0.15">
      <c r="A4" s="12" t="s">
        <v>13</v>
      </c>
      <c r="B4" s="57" t="s">
        <v>64</v>
      </c>
      <c r="C4" s="11"/>
      <c r="D4" s="11"/>
      <c r="E4" s="55" t="s">
        <v>46</v>
      </c>
      <c r="F4" s="55" t="s">
        <v>50</v>
      </c>
      <c r="G4" s="3"/>
      <c r="H4" s="3"/>
      <c r="I4" s="3"/>
      <c r="J4" s="5"/>
    </row>
    <row r="5" spans="1:10" ht="14.25" x14ac:dyDescent="0.15">
      <c r="A5" s="12" t="s">
        <v>14</v>
      </c>
      <c r="B5" s="41" t="s">
        <v>39</v>
      </c>
      <c r="C5" s="11"/>
      <c r="D5" s="11"/>
      <c r="E5" s="55" t="s">
        <v>39</v>
      </c>
      <c r="F5" s="55" t="s">
        <v>58</v>
      </c>
      <c r="G5" s="3"/>
      <c r="H5" s="3"/>
      <c r="I5" s="3"/>
      <c r="J5" s="5"/>
    </row>
    <row r="6" spans="1:10" ht="14.25" x14ac:dyDescent="0.15">
      <c r="A6" s="12" t="s">
        <v>15</v>
      </c>
      <c r="B6" s="41" t="s">
        <v>10</v>
      </c>
      <c r="C6" s="11"/>
      <c r="D6" s="11"/>
      <c r="E6" s="55" t="s">
        <v>3</v>
      </c>
      <c r="F6" s="55" t="s">
        <v>8</v>
      </c>
      <c r="G6" s="3"/>
      <c r="H6" s="3"/>
      <c r="I6" s="3"/>
      <c r="J6" s="5"/>
    </row>
    <row r="7" spans="1:10" ht="14.25" x14ac:dyDescent="0.15">
      <c r="A7" s="13" t="s">
        <v>16</v>
      </c>
      <c r="B7" s="42">
        <v>39814</v>
      </c>
      <c r="C7" s="11"/>
      <c r="D7" s="11"/>
      <c r="E7" s="55" t="s">
        <v>4</v>
      </c>
      <c r="F7" s="55" t="s">
        <v>12</v>
      </c>
      <c r="G7" s="3"/>
      <c r="H7" s="3"/>
      <c r="I7" s="3"/>
      <c r="J7" s="5"/>
    </row>
    <row r="8" spans="1:10" ht="14.25" x14ac:dyDescent="0.15">
      <c r="A8" s="13" t="s">
        <v>17</v>
      </c>
      <c r="B8" s="42">
        <v>40179</v>
      </c>
      <c r="C8" s="11"/>
      <c r="D8" s="11"/>
      <c r="E8" s="55" t="s">
        <v>5</v>
      </c>
      <c r="F8" s="55" t="s">
        <v>51</v>
      </c>
      <c r="G8" s="3"/>
      <c r="H8" s="3"/>
      <c r="I8" s="3"/>
      <c r="J8" s="5"/>
    </row>
    <row r="9" spans="1:10" ht="14.25" x14ac:dyDescent="0.15">
      <c r="A9" s="13" t="s">
        <v>23</v>
      </c>
      <c r="B9" s="56" t="s">
        <v>62</v>
      </c>
      <c r="C9" s="11"/>
      <c r="D9" s="11"/>
      <c r="E9" s="55" t="s">
        <v>6</v>
      </c>
      <c r="F9" s="55" t="s">
        <v>9</v>
      </c>
      <c r="G9" s="3"/>
      <c r="H9" s="3"/>
      <c r="I9" s="3"/>
      <c r="J9" s="5"/>
    </row>
    <row r="10" spans="1:10" ht="14.25" x14ac:dyDescent="0.15">
      <c r="A10" s="13"/>
      <c r="B10" s="13"/>
      <c r="C10" s="11"/>
      <c r="D10" s="11"/>
      <c r="E10" s="55" t="s">
        <v>47</v>
      </c>
      <c r="F10" s="55" t="s">
        <v>52</v>
      </c>
      <c r="G10" s="3"/>
      <c r="H10" s="3"/>
      <c r="I10" s="3"/>
      <c r="J10" s="5"/>
    </row>
    <row r="11" spans="1:10" ht="14.25" x14ac:dyDescent="0.15">
      <c r="A11" s="13" t="s">
        <v>19</v>
      </c>
      <c r="B11" s="43">
        <v>0.5</v>
      </c>
      <c r="C11" s="11"/>
      <c r="D11" s="11"/>
      <c r="E11" s="3"/>
      <c r="F11" s="55" t="s">
        <v>53</v>
      </c>
      <c r="G11" s="3"/>
      <c r="H11" s="3"/>
      <c r="I11" s="3"/>
      <c r="J11" s="5"/>
    </row>
    <row r="12" spans="1:10" ht="14.25" x14ac:dyDescent="0.15">
      <c r="A12" s="13" t="s">
        <v>20</v>
      </c>
      <c r="B12" s="44">
        <f>+B8-B7</f>
        <v>365</v>
      </c>
      <c r="C12" s="11"/>
      <c r="D12" s="11"/>
      <c r="E12" s="3"/>
      <c r="F12" s="55" t="s">
        <v>54</v>
      </c>
      <c r="G12" s="3"/>
      <c r="H12" s="3"/>
      <c r="I12" s="3"/>
      <c r="J12" s="5"/>
    </row>
    <row r="13" spans="1:10" ht="14.25" x14ac:dyDescent="0.15">
      <c r="A13" s="13" t="s">
        <v>21</v>
      </c>
      <c r="B13" s="44">
        <f>ROUND(70%*B12,0)</f>
        <v>256</v>
      </c>
      <c r="C13" s="11"/>
      <c r="D13" s="11"/>
      <c r="E13" s="3"/>
      <c r="F13" s="55" t="s">
        <v>55</v>
      </c>
      <c r="G13" s="3"/>
      <c r="H13" s="3"/>
      <c r="I13" s="3"/>
      <c r="J13" s="5"/>
    </row>
    <row r="14" spans="1:10" ht="14.25" x14ac:dyDescent="0.15">
      <c r="A14" s="34" t="s">
        <v>33</v>
      </c>
      <c r="B14" s="45">
        <f>+ROUND(B11*B13*8,0)</f>
        <v>1024</v>
      </c>
      <c r="C14" s="11"/>
      <c r="D14" s="11"/>
      <c r="E14" s="3"/>
      <c r="F14" s="3"/>
      <c r="G14" s="3"/>
      <c r="H14" s="3"/>
      <c r="I14" s="3"/>
      <c r="J14" s="5"/>
    </row>
    <row r="15" spans="1:10" x14ac:dyDescent="0.15">
      <c r="A15" s="3"/>
      <c r="B15" s="3"/>
      <c r="C15" s="4"/>
      <c r="D15" s="4"/>
      <c r="E15" s="3"/>
      <c r="F15" s="3"/>
      <c r="G15" s="3"/>
      <c r="H15" s="3"/>
      <c r="I15" s="3"/>
      <c r="J15" s="5"/>
    </row>
    <row r="16" spans="1:10" x14ac:dyDescent="0.15">
      <c r="A16" s="3"/>
      <c r="B16" s="37" t="s">
        <v>60</v>
      </c>
      <c r="C16" s="16" t="s">
        <v>19</v>
      </c>
      <c r="D16" s="37" t="s">
        <v>22</v>
      </c>
      <c r="E16" s="3"/>
      <c r="F16" s="3"/>
      <c r="G16" s="3"/>
      <c r="H16" s="3"/>
      <c r="I16" s="3"/>
      <c r="J16" s="3"/>
    </row>
    <row r="17" spans="1:12" s="23" customFormat="1" ht="14.25" x14ac:dyDescent="0.15">
      <c r="A17" s="13"/>
      <c r="B17" s="18" t="s">
        <v>34</v>
      </c>
      <c r="C17" s="19">
        <v>0.05</v>
      </c>
      <c r="D17" s="20">
        <f>+C17*B14</f>
        <v>51.2</v>
      </c>
      <c r="E17" s="21"/>
      <c r="F17" s="21"/>
      <c r="G17" s="21"/>
      <c r="H17" s="22"/>
      <c r="I17" s="21"/>
      <c r="J17" s="21"/>
      <c r="L17" s="23" t="s">
        <v>38</v>
      </c>
    </row>
    <row r="18" spans="1:12" ht="69.75" x14ac:dyDescent="0.15">
      <c r="A18" s="36"/>
      <c r="B18" s="54" t="s">
        <v>41</v>
      </c>
      <c r="C18" s="8"/>
      <c r="E18" s="17"/>
      <c r="F18" s="6"/>
      <c r="G18" s="3"/>
      <c r="H18" s="7"/>
      <c r="I18" s="3"/>
      <c r="J18" s="3"/>
    </row>
    <row r="19" spans="1:12" s="28" customFormat="1" ht="14.25" x14ac:dyDescent="0.15">
      <c r="A19" s="35"/>
      <c r="B19" s="24" t="s">
        <v>35</v>
      </c>
      <c r="C19" s="25">
        <v>0.2</v>
      </c>
      <c r="D19" s="26">
        <f>+C19*B14</f>
        <v>204.8</v>
      </c>
      <c r="E19" s="26"/>
      <c r="F19" s="27"/>
      <c r="G19" s="10"/>
      <c r="H19" s="10"/>
      <c r="I19" s="10"/>
      <c r="J19" s="10"/>
    </row>
    <row r="20" spans="1:12" ht="104.25" x14ac:dyDescent="0.15">
      <c r="A20" s="36"/>
      <c r="B20" s="54" t="s">
        <v>42</v>
      </c>
      <c r="C20" s="8"/>
      <c r="E20" s="17"/>
      <c r="F20" s="6"/>
      <c r="G20" s="3"/>
      <c r="H20" s="7"/>
      <c r="I20" s="3"/>
      <c r="J20" s="3"/>
    </row>
    <row r="21" spans="1:12" s="28" customFormat="1" ht="14.25" x14ac:dyDescent="0.15">
      <c r="A21" s="35"/>
      <c r="B21" s="29" t="s">
        <v>36</v>
      </c>
      <c r="C21" s="25">
        <v>0.55000000000000004</v>
      </c>
      <c r="D21" s="26">
        <f>+C21*B14</f>
        <v>563.20000000000005</v>
      </c>
      <c r="E21" s="26"/>
      <c r="F21" s="27"/>
      <c r="G21" s="10"/>
      <c r="H21" s="10"/>
      <c r="I21" s="10"/>
      <c r="J21" s="10"/>
    </row>
    <row r="22" spans="1:12" ht="150" x14ac:dyDescent="0.15">
      <c r="A22" s="36"/>
      <c r="B22" s="54" t="s">
        <v>43</v>
      </c>
      <c r="C22" s="8"/>
      <c r="E22" s="17"/>
      <c r="F22" s="6"/>
      <c r="G22" s="3"/>
      <c r="H22" s="7"/>
      <c r="I22" s="3"/>
      <c r="J22" s="3"/>
    </row>
    <row r="23" spans="1:12" s="28" customFormat="1" ht="14.25" x14ac:dyDescent="0.15">
      <c r="A23" s="35"/>
      <c r="B23" s="30" t="s">
        <v>40</v>
      </c>
      <c r="C23" s="25">
        <v>0.15</v>
      </c>
      <c r="D23" s="26">
        <f>+C23*B14</f>
        <v>153.6</v>
      </c>
      <c r="E23" s="26"/>
      <c r="F23" s="31"/>
      <c r="G23" s="10"/>
      <c r="H23" s="10"/>
      <c r="I23" s="10"/>
      <c r="J23" s="12"/>
    </row>
    <row r="24" spans="1:12" ht="69.75" x14ac:dyDescent="0.15">
      <c r="A24" s="36"/>
      <c r="B24" s="54" t="s">
        <v>44</v>
      </c>
      <c r="C24" s="8"/>
      <c r="E24" s="17"/>
      <c r="F24" s="6"/>
      <c r="G24" s="3"/>
      <c r="H24" s="7"/>
      <c r="I24" s="3"/>
      <c r="J24" s="3"/>
    </row>
    <row r="25" spans="1:12" s="28" customFormat="1" ht="14.25" x14ac:dyDescent="0.15">
      <c r="A25" s="35"/>
      <c r="B25" s="32" t="s">
        <v>37</v>
      </c>
      <c r="C25" s="25">
        <v>0.05</v>
      </c>
      <c r="D25" s="26">
        <f>+C25*B14</f>
        <v>51.2</v>
      </c>
      <c r="E25" s="26"/>
      <c r="F25" s="31"/>
      <c r="G25" s="10"/>
      <c r="H25" s="10"/>
      <c r="I25" s="10"/>
      <c r="J25" s="10"/>
    </row>
    <row r="26" spans="1:12" ht="104.25" x14ac:dyDescent="0.15">
      <c r="A26" s="36"/>
      <c r="B26" s="54" t="s">
        <v>45</v>
      </c>
      <c r="C26" s="9"/>
      <c r="E26" s="17"/>
      <c r="F26" s="6"/>
      <c r="G26" s="3"/>
      <c r="H26" s="7"/>
      <c r="I26" s="3"/>
      <c r="J26" s="3"/>
    </row>
    <row r="27" spans="1:12" s="28" customFormat="1" ht="26.25" customHeight="1" x14ac:dyDescent="0.15">
      <c r="A27" s="10"/>
      <c r="B27" s="38" t="s">
        <v>0</v>
      </c>
      <c r="C27" s="39">
        <f>+C17+C19+C21+C23+C25</f>
        <v>1</v>
      </c>
      <c r="D27" s="40">
        <f>+D17+D19+D21+D23+D25</f>
        <v>1024</v>
      </c>
      <c r="E27" s="33"/>
      <c r="F27" s="10"/>
      <c r="G27" s="10"/>
      <c r="H27" s="10"/>
      <c r="I27" s="10"/>
      <c r="J27" s="10"/>
    </row>
    <row r="28" spans="1:12" x14ac:dyDescent="0.15">
      <c r="A28" s="3"/>
      <c r="B28" s="3"/>
      <c r="C28" s="4"/>
      <c r="D28" s="4"/>
      <c r="E28" s="4"/>
      <c r="F28" s="3"/>
      <c r="G28" s="3"/>
      <c r="H28" s="3"/>
      <c r="I28" s="3"/>
      <c r="J28" s="3"/>
    </row>
    <row r="29" spans="1:12" x14ac:dyDescent="0.15">
      <c r="A29" s="3"/>
      <c r="B29" s="3"/>
      <c r="C29" s="4"/>
      <c r="D29" s="4"/>
      <c r="E29" s="4"/>
      <c r="F29" s="3"/>
      <c r="G29" s="3"/>
      <c r="H29" s="3"/>
      <c r="I29" s="3"/>
      <c r="J29" s="3"/>
    </row>
    <row r="30" spans="1:12" x14ac:dyDescent="0.15">
      <c r="A30" s="3"/>
      <c r="B30" s="3"/>
      <c r="C30" s="4"/>
      <c r="D30" s="4"/>
      <c r="E30" s="4"/>
      <c r="F30" s="3"/>
      <c r="G30" s="3"/>
      <c r="H30" s="3"/>
      <c r="I30" s="3"/>
      <c r="J30" s="3"/>
    </row>
    <row r="31" spans="1:12" x14ac:dyDescent="0.15">
      <c r="A31" s="3"/>
      <c r="B31" s="3"/>
      <c r="C31" s="4"/>
      <c r="D31" s="4"/>
      <c r="E31" s="4"/>
      <c r="F31" s="3"/>
      <c r="G31" s="3"/>
      <c r="H31" s="3"/>
      <c r="I31" s="3"/>
      <c r="J31" s="3"/>
    </row>
    <row r="32" spans="1:12" x14ac:dyDescent="0.15">
      <c r="A32" s="3"/>
      <c r="B32" s="3"/>
      <c r="C32" s="4"/>
      <c r="D32" s="4"/>
      <c r="E32" s="4"/>
      <c r="F32" s="3"/>
      <c r="G32" s="3"/>
      <c r="H32" s="3"/>
      <c r="I32" s="3"/>
      <c r="J32" s="3"/>
    </row>
    <row r="33" spans="1:10" x14ac:dyDescent="0.15">
      <c r="A33" s="3"/>
      <c r="B33" s="3"/>
      <c r="C33" s="4"/>
      <c r="D33" s="4"/>
      <c r="E33" s="4"/>
      <c r="F33" s="3"/>
      <c r="G33" s="3"/>
      <c r="H33" s="3"/>
      <c r="I33" s="3"/>
      <c r="J33" s="3"/>
    </row>
    <row r="34" spans="1:10" x14ac:dyDescent="0.15">
      <c r="A34" s="3"/>
      <c r="B34" s="3"/>
      <c r="C34" s="4"/>
      <c r="D34" s="4"/>
      <c r="E34" s="4"/>
      <c r="F34" s="3"/>
      <c r="G34" s="3"/>
      <c r="H34" s="3"/>
      <c r="I34" s="3"/>
      <c r="J34" s="3"/>
    </row>
    <row r="35" spans="1:10" x14ac:dyDescent="0.15">
      <c r="A35" s="3"/>
      <c r="B35" s="3"/>
      <c r="C35" s="4"/>
      <c r="D35" s="4"/>
      <c r="E35" s="4"/>
      <c r="F35" s="3"/>
      <c r="G35" s="3"/>
      <c r="H35" s="3"/>
      <c r="I35" s="3"/>
      <c r="J35" s="3"/>
    </row>
    <row r="36" spans="1:10" x14ac:dyDescent="0.15">
      <c r="A36" s="3"/>
      <c r="B36" s="3"/>
      <c r="C36" s="4"/>
      <c r="D36" s="4"/>
      <c r="E36" s="4"/>
      <c r="F36" s="3"/>
      <c r="G36" s="3"/>
      <c r="H36" s="3"/>
      <c r="I36" s="3"/>
      <c r="J36" s="3"/>
    </row>
    <row r="37" spans="1:10" x14ac:dyDescent="0.15">
      <c r="A37" s="3"/>
      <c r="B37" s="3"/>
      <c r="C37" s="4"/>
      <c r="D37" s="4"/>
      <c r="E37" s="4"/>
      <c r="F37" s="3"/>
      <c r="G37" s="3"/>
      <c r="H37" s="3"/>
      <c r="I37" s="3"/>
      <c r="J37" s="3"/>
    </row>
    <row r="38" spans="1:10" x14ac:dyDescent="0.15">
      <c r="A38" s="3"/>
      <c r="B38" s="3"/>
      <c r="C38" s="4"/>
      <c r="D38" s="4"/>
      <c r="E38" s="4"/>
      <c r="F38" s="3"/>
      <c r="G38" s="3"/>
      <c r="H38" s="3"/>
      <c r="I38" s="3"/>
      <c r="J38" s="3"/>
    </row>
    <row r="39" spans="1:10" x14ac:dyDescent="0.15">
      <c r="A39" s="3"/>
      <c r="B39" s="3"/>
      <c r="C39" s="4"/>
      <c r="D39" s="4"/>
      <c r="E39" s="4"/>
      <c r="F39" s="3"/>
      <c r="G39" s="3"/>
      <c r="H39" s="3"/>
      <c r="I39" s="3"/>
      <c r="J39" s="3"/>
    </row>
    <row r="40" spans="1:10" x14ac:dyDescent="0.15">
      <c r="A40" s="3"/>
      <c r="B40" s="3"/>
      <c r="C40" s="4"/>
      <c r="D40" s="4"/>
      <c r="E40" s="4"/>
      <c r="F40" s="3"/>
      <c r="G40" s="3"/>
      <c r="H40" s="3"/>
      <c r="I40" s="3"/>
      <c r="J40" s="3"/>
    </row>
    <row r="41" spans="1:10" x14ac:dyDescent="0.15">
      <c r="A41" s="3"/>
      <c r="B41" s="3"/>
      <c r="C41" s="4"/>
      <c r="D41" s="4"/>
      <c r="E41" s="4"/>
      <c r="F41" s="3"/>
      <c r="G41" s="3"/>
      <c r="H41" s="3"/>
      <c r="I41" s="3"/>
      <c r="J41" s="3"/>
    </row>
    <row r="42" spans="1:10" x14ac:dyDescent="0.15">
      <c r="A42" s="3"/>
      <c r="B42" s="3"/>
      <c r="C42" s="4"/>
      <c r="D42" s="4"/>
      <c r="E42" s="4"/>
      <c r="F42" s="3"/>
      <c r="G42" s="3"/>
      <c r="H42" s="3"/>
      <c r="I42" s="3"/>
      <c r="J42" s="3"/>
    </row>
    <row r="43" spans="1:10" x14ac:dyDescent="0.15">
      <c r="A43" s="3"/>
      <c r="B43" s="3"/>
      <c r="C43" s="4"/>
      <c r="D43" s="4"/>
      <c r="E43" s="4"/>
      <c r="F43" s="3"/>
      <c r="G43" s="3"/>
      <c r="H43" s="3"/>
      <c r="I43" s="3"/>
      <c r="J43" s="3"/>
    </row>
  </sheetData>
  <phoneticPr fontId="0" type="noConversion"/>
  <dataValidations count="2">
    <dataValidation type="list" errorStyle="warning" allowBlank="1" showInputMessage="1" showErrorMessage="1" error="If &quot;Other&quot; give more detail" sqref="B5" xr:uid="{00000000-0002-0000-0300-000000000000}">
      <formula1>#REF!</formula1>
    </dataValidation>
    <dataValidation type="list" errorStyle="warning" allowBlank="1" showInputMessage="1" showErrorMessage="1" error="If &quot;Other&quot; mention which one_x000d_ " sqref="B6" xr:uid="{00000000-0002-0000-0300-000001000000}">
      <formula1>#REF!</formula1>
    </dataValidation>
  </dataValidations>
  <pageMargins left="0.46" right="0.52" top="0.37" bottom="0.42" header="0" footer="0"/>
  <pageSetup paperSize="9" scale="71" orientation="portrait" horizontalDpi="1200" verticalDpi="1200"/>
  <legacy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43"/>
  <sheetViews>
    <sheetView zoomScaleSheetLayoutView="100" workbookViewId="0" xr3:uid="{F9CF3CF3-643B-5BE6-8B46-32C596A47465}">
      <selection activeCell="B16" sqref="B16"/>
    </sheetView>
  </sheetViews>
  <sheetFormatPr defaultColWidth="10.78515625" defaultRowHeight="12.75" x14ac:dyDescent="0.15"/>
  <cols>
    <col min="1" max="1" width="13.078125" bestFit="1" customWidth="1"/>
    <col min="2" max="2" width="96.1484375" bestFit="1" customWidth="1"/>
    <col min="3" max="3" width="11.19140625" style="2" bestFit="1" customWidth="1"/>
    <col min="4" max="4" width="11.32421875" style="2" bestFit="1" customWidth="1"/>
    <col min="5" max="5" width="16.5859375" bestFit="1" customWidth="1"/>
    <col min="6" max="6" width="20.08984375" bestFit="1" customWidth="1"/>
  </cols>
  <sheetData>
    <row r="1" spans="1:7" x14ac:dyDescent="0.15">
      <c r="A1" s="3"/>
      <c r="B1" s="14" t="s">
        <v>18</v>
      </c>
      <c r="C1" s="4"/>
      <c r="D1" s="4"/>
      <c r="E1" s="5" t="s">
        <v>56</v>
      </c>
      <c r="F1" s="5" t="s">
        <v>57</v>
      </c>
      <c r="G1" s="5"/>
    </row>
    <row r="2" spans="1:7" ht="14.25" x14ac:dyDescent="0.15">
      <c r="A2" s="10"/>
      <c r="B2" s="10"/>
      <c r="C2" s="11"/>
      <c r="D2" s="11"/>
      <c r="E2" s="3" t="s">
        <v>7</v>
      </c>
      <c r="F2" s="55" t="s">
        <v>48</v>
      </c>
      <c r="G2" s="5"/>
    </row>
    <row r="3" spans="1:7" ht="14.25" x14ac:dyDescent="0.15">
      <c r="A3" s="12" t="s">
        <v>27</v>
      </c>
      <c r="B3" s="10"/>
      <c r="C3" s="11"/>
      <c r="D3" s="11"/>
      <c r="E3" s="3" t="s">
        <v>2</v>
      </c>
      <c r="F3" s="55" t="s">
        <v>49</v>
      </c>
      <c r="G3" s="5"/>
    </row>
    <row r="4" spans="1:7" ht="14.25" x14ac:dyDescent="0.15">
      <c r="A4" s="12" t="s">
        <v>13</v>
      </c>
      <c r="B4" s="57" t="s">
        <v>65</v>
      </c>
      <c r="C4" s="11"/>
      <c r="D4" s="11"/>
      <c r="E4" s="55" t="s">
        <v>46</v>
      </c>
      <c r="F4" s="55" t="s">
        <v>50</v>
      </c>
      <c r="G4" s="5"/>
    </row>
    <row r="5" spans="1:7" ht="14.25" x14ac:dyDescent="0.15">
      <c r="A5" s="12" t="s">
        <v>14</v>
      </c>
      <c r="B5" s="41" t="s">
        <v>3</v>
      </c>
      <c r="C5" s="11"/>
      <c r="D5" s="11"/>
      <c r="E5" s="55" t="s">
        <v>39</v>
      </c>
      <c r="F5" s="55" t="s">
        <v>58</v>
      </c>
      <c r="G5" s="5"/>
    </row>
    <row r="6" spans="1:7" ht="14.25" x14ac:dyDescent="0.15">
      <c r="A6" s="12" t="s">
        <v>15</v>
      </c>
      <c r="B6" s="41" t="s">
        <v>11</v>
      </c>
      <c r="C6" s="11"/>
      <c r="D6" s="11"/>
      <c r="E6" s="55" t="s">
        <v>3</v>
      </c>
      <c r="F6" s="55" t="s">
        <v>8</v>
      </c>
      <c r="G6" s="5"/>
    </row>
    <row r="7" spans="1:7" ht="14.25" x14ac:dyDescent="0.15">
      <c r="A7" s="13" t="s">
        <v>16</v>
      </c>
      <c r="B7" s="42">
        <v>39448</v>
      </c>
      <c r="C7" s="11"/>
      <c r="D7" s="11"/>
      <c r="E7" s="55" t="s">
        <v>4</v>
      </c>
      <c r="F7" s="55" t="s">
        <v>12</v>
      </c>
      <c r="G7" s="5"/>
    </row>
    <row r="8" spans="1:7" ht="14.25" x14ac:dyDescent="0.15">
      <c r="A8" s="13" t="s">
        <v>17</v>
      </c>
      <c r="B8" s="42">
        <v>39814</v>
      </c>
      <c r="C8" s="11"/>
      <c r="D8" s="11"/>
      <c r="E8" s="55" t="s">
        <v>5</v>
      </c>
      <c r="F8" s="55" t="s">
        <v>51</v>
      </c>
      <c r="G8" s="5"/>
    </row>
    <row r="9" spans="1:7" ht="14.25" x14ac:dyDescent="0.15">
      <c r="A9" s="13" t="s">
        <v>23</v>
      </c>
      <c r="B9" s="56" t="s">
        <v>62</v>
      </c>
      <c r="C9" s="11"/>
      <c r="D9" s="11"/>
      <c r="E9" s="55" t="s">
        <v>6</v>
      </c>
      <c r="F9" s="55" t="s">
        <v>9</v>
      </c>
      <c r="G9" s="5"/>
    </row>
    <row r="10" spans="1:7" ht="14.25" x14ac:dyDescent="0.15">
      <c r="A10" s="13"/>
      <c r="B10" s="13"/>
      <c r="C10" s="11"/>
      <c r="D10" s="11"/>
      <c r="E10" s="55" t="s">
        <v>47</v>
      </c>
      <c r="F10" s="55" t="s">
        <v>52</v>
      </c>
      <c r="G10" s="5"/>
    </row>
    <row r="11" spans="1:7" ht="14.25" x14ac:dyDescent="0.15">
      <c r="A11" s="13" t="s">
        <v>19</v>
      </c>
      <c r="B11" s="43">
        <v>0.2</v>
      </c>
      <c r="C11" s="11"/>
      <c r="D11" s="11"/>
      <c r="E11" s="3"/>
      <c r="F11" s="55" t="s">
        <v>53</v>
      </c>
      <c r="G11" s="5"/>
    </row>
    <row r="12" spans="1:7" ht="14.25" x14ac:dyDescent="0.15">
      <c r="A12" s="13" t="s">
        <v>20</v>
      </c>
      <c r="B12" s="44">
        <f>+B8-B7</f>
        <v>366</v>
      </c>
      <c r="C12" s="11"/>
      <c r="D12" s="11"/>
      <c r="E12" s="3"/>
      <c r="F12" s="55" t="s">
        <v>54</v>
      </c>
      <c r="G12" s="5"/>
    </row>
    <row r="13" spans="1:7" ht="14.25" x14ac:dyDescent="0.15">
      <c r="A13" s="13" t="s">
        <v>21</v>
      </c>
      <c r="B13" s="44">
        <f>ROUND(70%*B12,0)</f>
        <v>256</v>
      </c>
      <c r="C13" s="11"/>
      <c r="D13" s="11"/>
      <c r="E13" s="3"/>
      <c r="F13" s="55" t="s">
        <v>55</v>
      </c>
      <c r="G13" s="5"/>
    </row>
    <row r="14" spans="1:7" ht="14.25" x14ac:dyDescent="0.15">
      <c r="A14" s="34" t="s">
        <v>33</v>
      </c>
      <c r="B14" s="45">
        <f>+ROUND(B11*B13*8,0)</f>
        <v>410</v>
      </c>
      <c r="C14" s="11"/>
      <c r="D14" s="11"/>
      <c r="E14" s="3"/>
      <c r="F14" s="3"/>
      <c r="G14" s="5"/>
    </row>
    <row r="15" spans="1:7" x14ac:dyDescent="0.15">
      <c r="A15" s="3"/>
      <c r="B15" s="3"/>
      <c r="C15" s="4"/>
      <c r="D15" s="4"/>
      <c r="E15" s="3"/>
      <c r="F15" s="3"/>
      <c r="G15" s="5"/>
    </row>
    <row r="16" spans="1:7" x14ac:dyDescent="0.15">
      <c r="A16" s="3"/>
      <c r="B16" s="37" t="s">
        <v>60</v>
      </c>
      <c r="C16" s="16" t="s">
        <v>19</v>
      </c>
      <c r="D16" s="37" t="s">
        <v>22</v>
      </c>
      <c r="E16" s="3"/>
      <c r="F16" s="3"/>
      <c r="G16" s="3"/>
    </row>
    <row r="17" spans="1:9" s="23" customFormat="1" ht="14.25" x14ac:dyDescent="0.15">
      <c r="A17" s="13"/>
      <c r="B17" s="18" t="s">
        <v>34</v>
      </c>
      <c r="C17" s="19">
        <v>0.05</v>
      </c>
      <c r="D17" s="20">
        <f>+C17*B14</f>
        <v>20.5</v>
      </c>
      <c r="E17" s="21"/>
      <c r="F17" s="21"/>
      <c r="G17" s="21"/>
      <c r="I17" s="23" t="s">
        <v>38</v>
      </c>
    </row>
    <row r="18" spans="1:9" ht="69.75" x14ac:dyDescent="0.15">
      <c r="A18" s="36"/>
      <c r="B18" s="54" t="s">
        <v>41</v>
      </c>
      <c r="C18" s="8"/>
      <c r="E18" s="3"/>
      <c r="F18" s="3"/>
      <c r="G18" s="3"/>
    </row>
    <row r="19" spans="1:9" s="28" customFormat="1" ht="14.25" x14ac:dyDescent="0.15">
      <c r="A19" s="35"/>
      <c r="B19" s="24" t="s">
        <v>35</v>
      </c>
      <c r="C19" s="25">
        <v>0.2</v>
      </c>
      <c r="D19" s="26">
        <f>+C19*B14</f>
        <v>82</v>
      </c>
      <c r="E19" s="10"/>
      <c r="F19" s="10"/>
      <c r="G19" s="10"/>
    </row>
    <row r="20" spans="1:9" ht="104.25" x14ac:dyDescent="0.15">
      <c r="A20" s="36"/>
      <c r="B20" s="54" t="s">
        <v>42</v>
      </c>
      <c r="C20" s="8"/>
      <c r="E20" s="3"/>
      <c r="F20" s="3"/>
      <c r="G20" s="3"/>
    </row>
    <row r="21" spans="1:9" s="28" customFormat="1" ht="14.25" x14ac:dyDescent="0.15">
      <c r="A21" s="35"/>
      <c r="B21" s="29" t="s">
        <v>36</v>
      </c>
      <c r="C21" s="25">
        <v>0.55000000000000004</v>
      </c>
      <c r="D21" s="26">
        <f>+C21*B14</f>
        <v>225.50000000000003</v>
      </c>
      <c r="E21" s="10"/>
      <c r="F21" s="10"/>
      <c r="G21" s="10"/>
    </row>
    <row r="22" spans="1:9" ht="162" x14ac:dyDescent="0.15">
      <c r="A22" s="36"/>
      <c r="B22" s="54" t="s">
        <v>59</v>
      </c>
      <c r="C22" s="8"/>
      <c r="E22" s="3"/>
      <c r="F22" s="3"/>
      <c r="G22" s="3"/>
    </row>
    <row r="23" spans="1:9" s="28" customFormat="1" ht="14.25" x14ac:dyDescent="0.15">
      <c r="A23" s="35"/>
      <c r="B23" s="30" t="s">
        <v>40</v>
      </c>
      <c r="C23" s="25">
        <v>0.15</v>
      </c>
      <c r="D23" s="26">
        <f>+C23*B14</f>
        <v>61.5</v>
      </c>
      <c r="E23" s="10"/>
      <c r="F23" s="10"/>
      <c r="G23" s="12"/>
    </row>
    <row r="24" spans="1:9" ht="69.75" x14ac:dyDescent="0.15">
      <c r="A24" s="36"/>
      <c r="B24" s="54" t="s">
        <v>44</v>
      </c>
      <c r="C24" s="8"/>
      <c r="E24" s="3"/>
      <c r="F24" s="3"/>
      <c r="G24" s="3"/>
    </row>
    <row r="25" spans="1:9" s="28" customFormat="1" ht="14.25" x14ac:dyDescent="0.15">
      <c r="A25" s="35"/>
      <c r="B25" s="32" t="s">
        <v>37</v>
      </c>
      <c r="C25" s="25">
        <v>0.05</v>
      </c>
      <c r="D25" s="26">
        <f>+C25*B14</f>
        <v>20.5</v>
      </c>
      <c r="E25" s="10"/>
      <c r="F25" s="10"/>
      <c r="G25" s="10"/>
    </row>
    <row r="26" spans="1:9" ht="104.25" x14ac:dyDescent="0.15">
      <c r="A26" s="36"/>
      <c r="B26" s="54" t="s">
        <v>45</v>
      </c>
      <c r="C26" s="9"/>
      <c r="E26" s="3"/>
      <c r="F26" s="3"/>
      <c r="G26" s="3"/>
    </row>
    <row r="27" spans="1:9" s="28" customFormat="1" ht="26.25" customHeight="1" x14ac:dyDescent="0.15">
      <c r="A27" s="10"/>
      <c r="B27" s="38" t="s">
        <v>0</v>
      </c>
      <c r="C27" s="39">
        <f>+C17+C19+C21+C23+C25</f>
        <v>1</v>
      </c>
      <c r="D27" s="40">
        <f>+D17+D19+D21+D23+D25</f>
        <v>410</v>
      </c>
      <c r="E27" s="10"/>
      <c r="F27" s="10"/>
      <c r="G27" s="10"/>
    </row>
    <row r="28" spans="1:9" x14ac:dyDescent="0.15">
      <c r="A28" s="3"/>
      <c r="B28" s="3"/>
      <c r="C28" s="4"/>
      <c r="D28" s="4"/>
      <c r="E28" s="3"/>
      <c r="F28" s="3"/>
      <c r="G28" s="3"/>
    </row>
    <row r="29" spans="1:9" x14ac:dyDescent="0.15">
      <c r="A29" s="3"/>
      <c r="B29" s="3"/>
      <c r="C29" s="4"/>
      <c r="D29" s="4"/>
      <c r="E29" s="3"/>
      <c r="F29" s="3"/>
      <c r="G29" s="3"/>
    </row>
    <row r="30" spans="1:9" x14ac:dyDescent="0.15">
      <c r="A30" s="3"/>
      <c r="B30" s="3"/>
      <c r="C30" s="4"/>
      <c r="D30" s="4"/>
      <c r="E30" s="3"/>
      <c r="F30" s="3"/>
      <c r="G30" s="3"/>
    </row>
    <row r="31" spans="1:9" x14ac:dyDescent="0.15">
      <c r="A31" s="3"/>
      <c r="B31" s="3"/>
      <c r="C31" s="4"/>
      <c r="D31" s="4"/>
      <c r="E31" s="3"/>
      <c r="F31" s="3"/>
      <c r="G31" s="3"/>
    </row>
    <row r="32" spans="1:9" x14ac:dyDescent="0.15">
      <c r="A32" s="3"/>
      <c r="B32" s="3"/>
      <c r="C32" s="4"/>
      <c r="D32" s="4"/>
      <c r="E32" s="3"/>
      <c r="F32" s="3"/>
      <c r="G32" s="3"/>
    </row>
    <row r="33" spans="1:7" x14ac:dyDescent="0.15">
      <c r="A33" s="3"/>
      <c r="B33" s="3"/>
      <c r="C33" s="4"/>
      <c r="D33" s="4"/>
      <c r="E33" s="3"/>
      <c r="F33" s="3"/>
      <c r="G33" s="3"/>
    </row>
    <row r="34" spans="1:7" x14ac:dyDescent="0.15">
      <c r="A34" s="3"/>
      <c r="B34" s="3"/>
      <c r="C34" s="4"/>
      <c r="D34" s="4"/>
      <c r="E34" s="3"/>
      <c r="F34" s="3"/>
      <c r="G34" s="3"/>
    </row>
    <row r="35" spans="1:7" x14ac:dyDescent="0.15">
      <c r="A35" s="3"/>
      <c r="B35" s="3"/>
      <c r="C35" s="4"/>
      <c r="D35" s="4"/>
      <c r="E35" s="3"/>
      <c r="F35" s="3"/>
      <c r="G35" s="3"/>
    </row>
    <row r="36" spans="1:7" x14ac:dyDescent="0.15">
      <c r="A36" s="3"/>
      <c r="B36" s="3"/>
      <c r="C36" s="4"/>
      <c r="D36" s="4"/>
      <c r="E36" s="3"/>
      <c r="F36" s="3"/>
      <c r="G36" s="3"/>
    </row>
    <row r="37" spans="1:7" x14ac:dyDescent="0.15">
      <c r="A37" s="3"/>
      <c r="B37" s="3"/>
      <c r="C37" s="4"/>
      <c r="D37" s="4"/>
      <c r="E37" s="3"/>
      <c r="F37" s="3"/>
      <c r="G37" s="3"/>
    </row>
    <row r="38" spans="1:7" x14ac:dyDescent="0.15">
      <c r="A38" s="3"/>
      <c r="B38" s="3"/>
      <c r="C38" s="4"/>
      <c r="D38" s="4"/>
      <c r="E38" s="3"/>
      <c r="F38" s="3"/>
      <c r="G38" s="3"/>
    </row>
    <row r="39" spans="1:7" x14ac:dyDescent="0.15">
      <c r="A39" s="3"/>
      <c r="B39" s="3"/>
      <c r="C39" s="4"/>
      <c r="D39" s="4"/>
      <c r="E39" s="3"/>
      <c r="F39" s="3"/>
      <c r="G39" s="3"/>
    </row>
    <row r="40" spans="1:7" x14ac:dyDescent="0.15">
      <c r="A40" s="3"/>
      <c r="B40" s="3"/>
      <c r="C40" s="4"/>
      <c r="D40" s="4"/>
      <c r="E40" s="3"/>
      <c r="F40" s="3"/>
      <c r="G40" s="3"/>
    </row>
    <row r="41" spans="1:7" x14ac:dyDescent="0.15">
      <c r="A41" s="3"/>
      <c r="B41" s="3"/>
      <c r="C41" s="4"/>
      <c r="D41" s="4"/>
      <c r="E41" s="3"/>
      <c r="F41" s="3"/>
      <c r="G41" s="3"/>
    </row>
    <row r="42" spans="1:7" x14ac:dyDescent="0.15">
      <c r="A42" s="3"/>
      <c r="B42" s="3"/>
      <c r="C42" s="4"/>
      <c r="D42" s="4"/>
      <c r="E42" s="3"/>
      <c r="F42" s="3"/>
      <c r="G42" s="3"/>
    </row>
    <row r="43" spans="1:7" x14ac:dyDescent="0.15">
      <c r="A43" s="3"/>
      <c r="B43" s="3"/>
      <c r="C43" s="4"/>
      <c r="D43" s="4"/>
      <c r="E43" s="3"/>
      <c r="F43" s="3"/>
      <c r="G43" s="3"/>
    </row>
  </sheetData>
  <phoneticPr fontId="0" type="noConversion"/>
  <dataValidations count="2">
    <dataValidation type="list" errorStyle="warning" allowBlank="1" showInputMessage="1" showErrorMessage="1" error="If &quot;Other&quot; give more detail" sqref="B5" xr:uid="{00000000-0002-0000-0400-000000000000}">
      <formula1>$E$2:$E$15</formula1>
    </dataValidation>
    <dataValidation type="list" errorStyle="warning" allowBlank="1" showInputMessage="1" showErrorMessage="1" error="If &quot;Other&quot; mention which one_x000d_ " sqref="B6" xr:uid="{00000000-0002-0000-0400-000001000000}">
      <formula1>$F$2:$F$15</formula1>
    </dataValidation>
  </dataValidations>
  <pageMargins left="0.46" right="0.52" top="0.37" bottom="0.42" header="0" footer="0"/>
  <pageSetup paperSize="9" scale="71" orientation="portrait" horizontalDpi="1200" verticalDpi="1200"/>
  <legacy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Resumen</vt:lpstr>
      <vt:lpstr>P1</vt:lpstr>
      <vt:lpstr>P2</vt:lpstr>
      <vt:lpstr>P3</vt:lpstr>
      <vt:lpstr>P4</vt:lpstr>
      <vt:lpstr>P1!Área_de_impresión</vt:lpstr>
      <vt:lpstr>P2!Área_de_impresión</vt:lpstr>
      <vt:lpstr>P3!Área_de_impresión</vt:lpstr>
      <vt:lpstr>P4!Área_de_impresión</vt:lpstr>
    </vt:vector>
  </TitlesOfParts>
  <Company>MasConsulting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Lledó</dc:creator>
  <cp:lastModifiedBy>HP</cp:lastModifiedBy>
  <cp:lastPrinted>2007-10-08T00:15:04Z</cp:lastPrinted>
  <dcterms:created xsi:type="dcterms:W3CDTF">2005-03-20T16:08:14Z</dcterms:created>
  <dcterms:modified xsi:type="dcterms:W3CDTF">2019-07-18T13:47:49Z</dcterms:modified>
</cp:coreProperties>
</file>