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A\"/>
    </mc:Choice>
  </mc:AlternateContent>
  <xr:revisionPtr revIDLastSave="0" documentId="10_ncr:100000_{A552E6C3-FB2A-4D7F-9B17-4B16DE1FC2A3}" xr6:coauthVersionLast="31" xr6:coauthVersionMax="31" xr10:uidLastSave="{00000000-0000-0000-0000-000000000000}"/>
  <bookViews>
    <workbookView xWindow="0" yWindow="0" windowWidth="24000" windowHeight="9525" activeTab="1" xr2:uid="{00000000-000D-0000-FFFF-FFFF00000000}"/>
  </bookViews>
  <sheets>
    <sheet name="Hoja1" sheetId="1" r:id="rId1"/>
    <sheet name="4" sheetId="2" r:id="rId2"/>
    <sheet name="Hoja3" sheetId="3" r:id="rId3"/>
  </sheets>
  <calcPr calcId="179017"/>
</workbook>
</file>

<file path=xl/calcChain.xml><?xml version="1.0" encoding="utf-8"?>
<calcChain xmlns="http://schemas.openxmlformats.org/spreadsheetml/2006/main">
  <c r="D45" i="2" l="1"/>
  <c r="E45" i="2" s="1"/>
  <c r="F45" i="2" s="1"/>
  <c r="G45" i="2" s="1"/>
  <c r="H45" i="2" s="1"/>
  <c r="I45" i="2" s="1"/>
  <c r="J45" i="2" s="1"/>
  <c r="K45" i="2" s="1"/>
  <c r="L45" i="2" s="1"/>
  <c r="M45" i="2" s="1"/>
  <c r="N45" i="2" s="1"/>
  <c r="D44" i="2"/>
  <c r="D47" i="2" s="1"/>
  <c r="D48" i="2" s="1"/>
  <c r="C44" i="2"/>
  <c r="C49" i="2" s="1"/>
  <c r="D49" i="2" s="1"/>
  <c r="C38" i="2"/>
  <c r="G20" i="2"/>
  <c r="H20" i="2" s="1"/>
  <c r="I20" i="2" s="1"/>
  <c r="J20" i="2" s="1"/>
  <c r="K20" i="2" s="1"/>
  <c r="L20" i="2" s="1"/>
  <c r="M20" i="2" s="1"/>
  <c r="N20" i="2" s="1"/>
  <c r="O20" i="2" s="1"/>
  <c r="D20" i="2"/>
  <c r="E20" i="2" s="1"/>
  <c r="F20" i="2" s="1"/>
  <c r="D19" i="2"/>
  <c r="C19" i="2"/>
  <c r="C13" i="2"/>
  <c r="D50" i="2" l="1"/>
  <c r="C22" i="2"/>
  <c r="C24" i="2"/>
  <c r="D22" i="2"/>
  <c r="D23" i="2" s="1"/>
  <c r="E19" i="2"/>
  <c r="C47" i="2"/>
  <c r="E44" i="2"/>
  <c r="C48" i="2" l="1"/>
  <c r="E22" i="2"/>
  <c r="E23" i="2" s="1"/>
  <c r="F19" i="2"/>
  <c r="E47" i="2"/>
  <c r="E48" i="2" s="1"/>
  <c r="E49" i="2" s="1"/>
  <c r="F44" i="2"/>
  <c r="C25" i="2"/>
  <c r="D24" i="2"/>
  <c r="E24" i="2" s="1"/>
  <c r="C23" i="2"/>
  <c r="E50" i="2" l="1"/>
  <c r="D25" i="2"/>
  <c r="G19" i="2"/>
  <c r="F22" i="2"/>
  <c r="G44" i="2"/>
  <c r="F47" i="2"/>
  <c r="H44" i="2" l="1"/>
  <c r="G47" i="2"/>
  <c r="F23" i="2"/>
  <c r="F24" i="2" s="1"/>
  <c r="G24" i="2" s="1"/>
  <c r="H19" i="2"/>
  <c r="G22" i="2"/>
  <c r="G23" i="2" s="1"/>
  <c r="F48" i="2"/>
  <c r="F49" i="2" s="1"/>
  <c r="E25" i="2"/>
  <c r="N42" i="1"/>
  <c r="C40" i="1"/>
  <c r="E36" i="1"/>
  <c r="F40" i="1" s="1"/>
  <c r="K41" i="1" s="1"/>
  <c r="K44" i="1" s="1"/>
  <c r="D42" i="1"/>
  <c r="D28" i="1"/>
  <c r="C26" i="1"/>
  <c r="F26" i="1"/>
  <c r="K27" i="1" s="1"/>
  <c r="K30" i="1" s="1"/>
  <c r="E26" i="1"/>
  <c r="D26" i="1"/>
  <c r="C12" i="1"/>
  <c r="D14" i="1"/>
  <c r="J12" i="1"/>
  <c r="I12" i="1"/>
  <c r="H12" i="1"/>
  <c r="G12" i="1"/>
  <c r="F12" i="1"/>
  <c r="E12" i="1"/>
  <c r="D12" i="1"/>
  <c r="B5" i="1"/>
  <c r="H22" i="2" l="1"/>
  <c r="I19" i="2"/>
  <c r="G48" i="2"/>
  <c r="G49" i="2" s="1"/>
  <c r="F50" i="2"/>
  <c r="H47" i="2"/>
  <c r="I44" i="2"/>
  <c r="F25" i="2"/>
  <c r="D30" i="1"/>
  <c r="K26" i="1"/>
  <c r="G40" i="1"/>
  <c r="K28" i="1"/>
  <c r="D40" i="1"/>
  <c r="H40" i="1"/>
  <c r="E40" i="1"/>
  <c r="K40" i="1" s="1"/>
  <c r="K42" i="1" s="1"/>
  <c r="I40" i="1"/>
  <c r="E28" i="1"/>
  <c r="G28" i="1" s="1"/>
  <c r="D16" i="1"/>
  <c r="E14" i="1"/>
  <c r="G14" i="1" s="1"/>
  <c r="H49" i="2" l="1"/>
  <c r="G25" i="2"/>
  <c r="H25" i="2" s="1"/>
  <c r="I25" i="2" s="1"/>
  <c r="J25" i="2" s="1"/>
  <c r="K25" i="2" s="1"/>
  <c r="L25" i="2" s="1"/>
  <c r="M25" i="2" s="1"/>
  <c r="N25" i="2" s="1"/>
  <c r="O25" i="2" s="1"/>
  <c r="C30" i="2"/>
  <c r="G50" i="2"/>
  <c r="I22" i="2"/>
  <c r="I23" i="2" s="1"/>
  <c r="J19" i="2"/>
  <c r="I47" i="2"/>
  <c r="J44" i="2"/>
  <c r="H23" i="2"/>
  <c r="H24" i="2" s="1"/>
  <c r="I24" i="2" s="1"/>
  <c r="H48" i="2"/>
  <c r="E42" i="1"/>
  <c r="G42" i="1" s="1"/>
  <c r="E44" i="1" s="1"/>
  <c r="K44" i="2" l="1"/>
  <c r="J47" i="2"/>
  <c r="I48" i="2"/>
  <c r="I49" i="2" s="1"/>
  <c r="H50" i="2"/>
  <c r="K19" i="2"/>
  <c r="J22" i="2"/>
  <c r="I50" i="2" l="1"/>
  <c r="J50" i="2" s="1"/>
  <c r="K50" i="2" s="1"/>
  <c r="L50" i="2" s="1"/>
  <c r="M50" i="2" s="1"/>
  <c r="N50" i="2" s="1"/>
  <c r="O50" i="2" s="1"/>
  <c r="C55" i="2" s="1"/>
  <c r="J48" i="2"/>
  <c r="J49" i="2" s="1"/>
  <c r="K49" i="2" s="1"/>
  <c r="L44" i="2"/>
  <c r="K47" i="2"/>
  <c r="K48" i="2" s="1"/>
  <c r="J23" i="2"/>
  <c r="J24" i="2" s="1"/>
  <c r="K22" i="2"/>
  <c r="K23" i="2" s="1"/>
  <c r="L19" i="2"/>
  <c r="L22" i="2" l="1"/>
  <c r="L23" i="2" s="1"/>
  <c r="M19" i="2"/>
  <c r="K24" i="2"/>
  <c r="L47" i="2"/>
  <c r="L48" i="2" s="1"/>
  <c r="L49" i="2" s="1"/>
  <c r="M44" i="2"/>
  <c r="L24" i="2" l="1"/>
  <c r="M47" i="2"/>
  <c r="M48" i="2" s="1"/>
  <c r="M49" i="2" s="1"/>
  <c r="N44" i="2"/>
  <c r="M22" i="2"/>
  <c r="M23" i="2" s="1"/>
  <c r="N19" i="2"/>
  <c r="N49" i="2" l="1"/>
  <c r="O44" i="2"/>
  <c r="O47" i="2" s="1"/>
  <c r="N47" i="2"/>
  <c r="N48" i="2" s="1"/>
  <c r="N22" i="2"/>
  <c r="N23" i="2" s="1"/>
  <c r="O19" i="2"/>
  <c r="O22" i="2" s="1"/>
  <c r="M24" i="2"/>
  <c r="O49" i="2" l="1"/>
  <c r="O23" i="2"/>
  <c r="C29" i="2"/>
  <c r="C28" i="2"/>
  <c r="N24" i="2"/>
  <c r="O24" i="2" s="1"/>
  <c r="O48" i="2"/>
  <c r="C54" i="2"/>
  <c r="C53" i="2"/>
</calcChain>
</file>

<file path=xl/sharedStrings.xml><?xml version="1.0" encoding="utf-8"?>
<sst xmlns="http://schemas.openxmlformats.org/spreadsheetml/2006/main" count="98" uniqueCount="42">
  <si>
    <t>Año</t>
  </si>
  <si>
    <t>FF</t>
  </si>
  <si>
    <t>Inversión Inicial</t>
  </si>
  <si>
    <t>Interés</t>
  </si>
  <si>
    <t>Flujo Neto Caja</t>
  </si>
  <si>
    <t>VAN</t>
  </si>
  <si>
    <t>=</t>
  </si>
  <si>
    <t>TIR</t>
  </si>
  <si>
    <t>Payback</t>
  </si>
  <si>
    <t>3 años + 3 meses</t>
  </si>
  <si>
    <t>Preg. 1</t>
  </si>
  <si>
    <t>Preg. 2</t>
  </si>
  <si>
    <t>Inversión Anterior</t>
  </si>
  <si>
    <t>anual</t>
  </si>
  <si>
    <t>2 años + 6 meses</t>
  </si>
  <si>
    <t>Preg. 3</t>
  </si>
  <si>
    <t>Costo Máquina</t>
  </si>
  <si>
    <t>Vida Util</t>
  </si>
  <si>
    <t>años</t>
  </si>
  <si>
    <t>Valor Residual</t>
  </si>
  <si>
    <t>Costo Capital</t>
  </si>
  <si>
    <t>VAN + Valor Residual</t>
  </si>
  <si>
    <t>Ingresos</t>
  </si>
  <si>
    <t>Egresos</t>
  </si>
  <si>
    <t>Taller No 1</t>
  </si>
  <si>
    <t>Problema No 4</t>
  </si>
  <si>
    <t>Plan A</t>
  </si>
  <si>
    <t>Inversión</t>
  </si>
  <si>
    <t>US$</t>
  </si>
  <si>
    <t>Periodos</t>
  </si>
  <si>
    <t>Años</t>
  </si>
  <si>
    <t>Tasa de Descuento</t>
  </si>
  <si>
    <t>mensual</t>
  </si>
  <si>
    <t>?</t>
  </si>
  <si>
    <t>Solución</t>
  </si>
  <si>
    <t>Periodo</t>
  </si>
  <si>
    <t>Inversion adicional</t>
  </si>
  <si>
    <t>Flujo neto</t>
  </si>
  <si>
    <t>Flujo descontado</t>
  </si>
  <si>
    <t>Por recuperar</t>
  </si>
  <si>
    <t>Recuperación</t>
  </si>
  <si>
    <t>Plan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</si>
</sst>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S/&quot;\ #,##0.00;[Red]&quot;S/&quot;\ \-#,##0.00"/>
    <numFmt numFmtId="165" formatCode="_ * #,##0_ ;_ * \-#,##0_ ;_ * &quot;-&quot;??_ ;_ @_ "/>
    <numFmt numFmtId="166" formatCode="\+\ _ * #,##0_ ;_ * \-#,##0_ ;_ * &quot;-&quot;??_ ;_ @_ "/>
    <numFmt numFmtId="168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F3151"/>
        <bgColor rgb="FF3F3151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0" applyNumberFormat="1"/>
    <xf numFmtId="9" fontId="0" fillId="0" borderId="0" xfId="0" applyNumberFormat="1"/>
    <xf numFmtId="0" fontId="3" fillId="0" borderId="0" xfId="0" applyFont="1"/>
    <xf numFmtId="165" fontId="3" fillId="0" borderId="0" xfId="1" applyNumberFormat="1" applyFont="1"/>
    <xf numFmtId="9" fontId="3" fillId="0" borderId="0" xfId="0" applyNumberFormat="1" applyFont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0" borderId="0" xfId="0" quotePrefix="1" applyAlignment="1">
      <alignment horizontal="center"/>
    </xf>
    <xf numFmtId="0" fontId="2" fillId="2" borderId="0" xfId="0" applyFont="1" applyFill="1"/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2" fillId="3" borderId="0" xfId="0" applyFont="1" applyFill="1"/>
    <xf numFmtId="0" fontId="5" fillId="0" borderId="0" xfId="0" applyFont="1"/>
    <xf numFmtId="0" fontId="0" fillId="0" borderId="0" xfId="0" applyFont="1"/>
    <xf numFmtId="0" fontId="0" fillId="0" borderId="0" xfId="0" applyFont="1" applyAlignment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7" fillId="4" borderId="0" xfId="0" applyFont="1" applyFill="1" applyBorder="1"/>
    <xf numFmtId="0" fontId="5" fillId="0" borderId="2" xfId="0" applyFont="1" applyBorder="1" applyAlignment="1">
      <alignment horizontal="center"/>
    </xf>
    <xf numFmtId="3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9" fontId="0" fillId="0" borderId="2" xfId="0" applyNumberFormat="1" applyFont="1" applyBorder="1" applyAlignment="1">
      <alignment horizontal="center"/>
    </xf>
    <xf numFmtId="168" fontId="0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5" fillId="0" borderId="2" xfId="0" applyFont="1" applyBorder="1"/>
    <xf numFmtId="3" fontId="0" fillId="0" borderId="2" xfId="0" applyNumberFormat="1" applyFont="1" applyBorder="1"/>
    <xf numFmtId="0" fontId="5" fillId="5" borderId="2" xfId="0" applyFont="1" applyFill="1" applyBorder="1"/>
    <xf numFmtId="3" fontId="0" fillId="5" borderId="2" xfId="0" applyNumberFormat="1" applyFont="1" applyFill="1" applyBorder="1"/>
    <xf numFmtId="4" fontId="9" fillId="6" borderId="2" xfId="0" applyNumberFormat="1" applyFont="1" applyFill="1" applyBorder="1"/>
    <xf numFmtId="4" fontId="9" fillId="0" borderId="2" xfId="0" applyNumberFormat="1" applyFont="1" applyBorder="1"/>
    <xf numFmtId="3" fontId="0" fillId="0" borderId="0" xfId="0" applyNumberFormat="1" applyFont="1"/>
    <xf numFmtId="165" fontId="0" fillId="0" borderId="2" xfId="1" applyNumberFormat="1" applyFont="1" applyBorder="1"/>
    <xf numFmtId="0" fontId="0" fillId="0" borderId="2" xfId="0" applyFont="1" applyBorder="1"/>
    <xf numFmtId="9" fontId="0" fillId="0" borderId="2" xfId="0" applyNumberFormat="1" applyFont="1" applyBorder="1"/>
    <xf numFmtId="4" fontId="0" fillId="0" borderId="2" xfId="0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9525</xdr:rowOff>
    </xdr:from>
    <xdr:to>
      <xdr:col>1</xdr:col>
      <xdr:colOff>1000125</xdr:colOff>
      <xdr:row>2</xdr:row>
      <xdr:rowOff>95250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CDCCE14F-A028-4AEE-8983-967A16FA39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9525"/>
          <a:ext cx="1219200" cy="466725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5"/>
  <sheetViews>
    <sheetView showGridLines="0" topLeftCell="A42" zoomScale="90" zoomScaleNormal="90" workbookViewId="0">
      <selection activeCell="I53" sqref="I53"/>
    </sheetView>
  </sheetViews>
  <sheetFormatPr baseColWidth="10" defaultRowHeight="15" x14ac:dyDescent="0.25"/>
  <cols>
    <col min="1" max="1" width="9.140625" customWidth="1"/>
    <col min="2" max="2" width="13.85546875" customWidth="1"/>
    <col min="3" max="3" width="8.85546875" hidden="1" customWidth="1"/>
    <col min="4" max="4" width="10.42578125" customWidth="1"/>
    <col min="5" max="5" width="12.42578125" bestFit="1" customWidth="1"/>
    <col min="6" max="6" width="10.42578125" customWidth="1"/>
    <col min="7" max="7" width="10.5703125" customWidth="1"/>
    <col min="8" max="10" width="10.42578125" customWidth="1"/>
  </cols>
  <sheetData>
    <row r="2" spans="1:10" x14ac:dyDescent="0.25">
      <c r="B2" s="1"/>
      <c r="C2" s="1"/>
    </row>
    <row r="3" spans="1:10" x14ac:dyDescent="0.25">
      <c r="B3">
        <v>0</v>
      </c>
      <c r="D3">
        <v>1</v>
      </c>
      <c r="E3">
        <v>2</v>
      </c>
      <c r="F3">
        <v>3</v>
      </c>
      <c r="G3">
        <v>4</v>
      </c>
    </row>
    <row r="4" spans="1:10" x14ac:dyDescent="0.25">
      <c r="B4">
        <v>-1500</v>
      </c>
      <c r="D4">
        <v>700</v>
      </c>
      <c r="E4">
        <v>700</v>
      </c>
      <c r="F4">
        <v>700</v>
      </c>
      <c r="G4">
        <v>700</v>
      </c>
    </row>
    <row r="5" spans="1:10" x14ac:dyDescent="0.25">
      <c r="A5" t="s">
        <v>7</v>
      </c>
      <c r="B5" s="2">
        <f>IRR(B3:G4)</f>
        <v>0.31377241498881459</v>
      </c>
      <c r="C5" s="2"/>
    </row>
    <row r="6" spans="1:10" x14ac:dyDescent="0.25">
      <c r="B6" s="2"/>
      <c r="C6" s="2"/>
    </row>
    <row r="7" spans="1:10" ht="16.5" x14ac:dyDescent="0.3">
      <c r="A7" t="s">
        <v>10</v>
      </c>
      <c r="B7" s="3" t="s">
        <v>2</v>
      </c>
      <c r="C7" s="3"/>
      <c r="E7" s="4">
        <v>6000000</v>
      </c>
    </row>
    <row r="8" spans="1:10" ht="16.5" x14ac:dyDescent="0.3">
      <c r="B8" s="3" t="s">
        <v>4</v>
      </c>
      <c r="C8" s="3"/>
      <c r="D8" s="3"/>
      <c r="E8" s="4">
        <v>2000000</v>
      </c>
      <c r="F8" s="3"/>
      <c r="G8" s="3"/>
      <c r="H8" s="3"/>
      <c r="I8" s="3"/>
      <c r="J8" s="3"/>
    </row>
    <row r="9" spans="1:10" ht="16.5" x14ac:dyDescent="0.3">
      <c r="B9" s="3" t="s">
        <v>3</v>
      </c>
      <c r="C9" s="3"/>
      <c r="D9" s="3"/>
      <c r="E9" s="5">
        <v>0.05</v>
      </c>
      <c r="F9" s="3" t="s">
        <v>13</v>
      </c>
      <c r="G9" s="3"/>
      <c r="H9" s="3"/>
      <c r="I9" s="3"/>
      <c r="J9" s="3"/>
    </row>
    <row r="10" spans="1:10" ht="16.5" x14ac:dyDescent="0.3">
      <c r="B10" s="3"/>
      <c r="C10" s="3"/>
      <c r="D10" s="3"/>
      <c r="E10" s="3"/>
      <c r="F10" s="3"/>
      <c r="G10" s="3"/>
      <c r="H10" s="3"/>
      <c r="I10" s="3"/>
      <c r="J10" s="3"/>
    </row>
    <row r="11" spans="1:10" ht="16.5" x14ac:dyDescent="0.3">
      <c r="B11" s="8" t="s">
        <v>0</v>
      </c>
      <c r="C11" s="6">
        <v>0</v>
      </c>
      <c r="D11" s="8">
        <v>1</v>
      </c>
      <c r="E11" s="8">
        <v>2</v>
      </c>
      <c r="F11" s="8">
        <v>3</v>
      </c>
      <c r="G11" s="8">
        <v>4</v>
      </c>
      <c r="H11" s="8">
        <v>5</v>
      </c>
      <c r="I11" s="8">
        <v>6</v>
      </c>
      <c r="J11" s="8">
        <v>7</v>
      </c>
    </row>
    <row r="12" spans="1:10" ht="16.5" x14ac:dyDescent="0.3">
      <c r="B12" s="8" t="s">
        <v>1</v>
      </c>
      <c r="C12" s="6">
        <f>+E7*-1</f>
        <v>-6000000</v>
      </c>
      <c r="D12" s="7">
        <f t="shared" ref="D12:J12" si="0">$E$8/(1+$E$9)^D11</f>
        <v>1904761.9047619046</v>
      </c>
      <c r="E12" s="7">
        <f t="shared" si="0"/>
        <v>1814058.9569160996</v>
      </c>
      <c r="F12" s="7">
        <f t="shared" si="0"/>
        <v>1727675.197062952</v>
      </c>
      <c r="G12" s="7">
        <f t="shared" si="0"/>
        <v>1645404.949583764</v>
      </c>
      <c r="H12" s="7">
        <f t="shared" si="0"/>
        <v>1567052.3329369179</v>
      </c>
      <c r="I12" s="7">
        <f t="shared" si="0"/>
        <v>1492430.7932732552</v>
      </c>
      <c r="J12" s="7">
        <f t="shared" si="0"/>
        <v>1421362.6602602429</v>
      </c>
    </row>
    <row r="14" spans="1:10" x14ac:dyDescent="0.25">
      <c r="B14" s="12" t="s">
        <v>5</v>
      </c>
      <c r="D14" s="9">
        <f>-E7</f>
        <v>-6000000</v>
      </c>
      <c r="E14" s="10">
        <f>SUM(D12:J12)</f>
        <v>11572746.794795137</v>
      </c>
      <c r="F14" s="11" t="s">
        <v>6</v>
      </c>
      <c r="G14" s="9">
        <f>+E14+D14</f>
        <v>5572746.7947951369</v>
      </c>
    </row>
    <row r="15" spans="1:10" ht="4.5" customHeight="1" x14ac:dyDescent="0.25">
      <c r="B15" s="12"/>
    </row>
    <row r="16" spans="1:10" x14ac:dyDescent="0.25">
      <c r="B16" s="12" t="s">
        <v>7</v>
      </c>
      <c r="D16" s="2">
        <f>IRR(C11:J12)</f>
        <v>0.21065832442843213</v>
      </c>
    </row>
    <row r="17" spans="1:11" ht="5.25" customHeight="1" x14ac:dyDescent="0.25">
      <c r="B17" s="12"/>
    </row>
    <row r="18" spans="1:11" x14ac:dyDescent="0.25">
      <c r="B18" s="12" t="s">
        <v>8</v>
      </c>
      <c r="D18" t="s">
        <v>9</v>
      </c>
    </row>
    <row r="20" spans="1:11" x14ac:dyDescent="0.25">
      <c r="G20" s="9"/>
    </row>
    <row r="21" spans="1:11" ht="16.5" x14ac:dyDescent="0.3">
      <c r="A21" t="s">
        <v>11</v>
      </c>
      <c r="B21" s="3" t="s">
        <v>2</v>
      </c>
      <c r="C21" s="3"/>
      <c r="E21" s="4">
        <v>50000</v>
      </c>
      <c r="G21" s="3" t="s">
        <v>12</v>
      </c>
      <c r="H21" s="3"/>
      <c r="I21" s="4">
        <v>10000</v>
      </c>
    </row>
    <row r="22" spans="1:11" ht="16.5" x14ac:dyDescent="0.3">
      <c r="B22" s="3" t="s">
        <v>4</v>
      </c>
      <c r="C22" s="3"/>
      <c r="D22" s="3"/>
      <c r="E22" s="4">
        <v>30000</v>
      </c>
      <c r="F22" s="3"/>
      <c r="G22" s="3"/>
      <c r="H22" s="3"/>
      <c r="I22" s="3"/>
      <c r="J22" s="3"/>
    </row>
    <row r="23" spans="1:11" ht="16.5" x14ac:dyDescent="0.3">
      <c r="B23" s="3" t="s">
        <v>3</v>
      </c>
      <c r="C23" s="3"/>
      <c r="D23" s="3"/>
      <c r="E23" s="5">
        <v>0.12</v>
      </c>
      <c r="F23" s="3" t="s">
        <v>13</v>
      </c>
      <c r="G23" s="3"/>
      <c r="H23" s="3"/>
      <c r="I23" s="3"/>
      <c r="J23" s="3"/>
    </row>
    <row r="24" spans="1:11" ht="16.5" x14ac:dyDescent="0.3">
      <c r="B24" s="3"/>
      <c r="C24" s="3"/>
      <c r="D24" s="3"/>
      <c r="E24" s="3"/>
      <c r="F24" s="3"/>
      <c r="G24" s="13"/>
      <c r="H24" s="13"/>
      <c r="I24" s="13"/>
      <c r="J24" s="13"/>
    </row>
    <row r="25" spans="1:11" ht="16.5" x14ac:dyDescent="0.3">
      <c r="B25" s="8" t="s">
        <v>0</v>
      </c>
      <c r="C25" s="6">
        <v>0</v>
      </c>
      <c r="D25" s="8">
        <v>1</v>
      </c>
      <c r="E25" s="8">
        <v>2</v>
      </c>
      <c r="F25" s="8">
        <v>3</v>
      </c>
      <c r="G25" s="14"/>
      <c r="H25" s="14"/>
      <c r="I25" s="14"/>
      <c r="J25" s="14"/>
    </row>
    <row r="26" spans="1:11" ht="16.5" x14ac:dyDescent="0.3">
      <c r="B26" s="8" t="s">
        <v>1</v>
      </c>
      <c r="C26" s="6">
        <f>(E21+I21)*-1</f>
        <v>-60000</v>
      </c>
      <c r="D26" s="7">
        <f>$E$22/(1+$E$23)^D25</f>
        <v>26785.714285714283</v>
      </c>
      <c r="E26" s="7">
        <f>$E$22/(1+$E$23)^E25</f>
        <v>23915.81632653061</v>
      </c>
      <c r="F26" s="7">
        <f>$E$22/(1+$E$23)^F25</f>
        <v>21353.407434402325</v>
      </c>
      <c r="G26" s="15"/>
      <c r="H26" s="15"/>
      <c r="I26" s="15"/>
      <c r="J26" s="15"/>
      <c r="K26" s="9">
        <f>+I21+E21-D26-E26</f>
        <v>9298.4693877551072</v>
      </c>
    </row>
    <row r="27" spans="1:11" x14ac:dyDescent="0.25">
      <c r="K27">
        <f>+F26/12</f>
        <v>1779.4506195335271</v>
      </c>
    </row>
    <row r="28" spans="1:11" x14ac:dyDescent="0.25">
      <c r="B28" s="12" t="s">
        <v>5</v>
      </c>
      <c r="D28" s="9">
        <f>-(E21+I21)</f>
        <v>-60000</v>
      </c>
      <c r="E28" s="10">
        <f>SUM(D26:J26)</f>
        <v>72054.938046647221</v>
      </c>
      <c r="F28" s="11" t="s">
        <v>6</v>
      </c>
      <c r="G28" s="9">
        <f>+E28+D28</f>
        <v>12054.938046647221</v>
      </c>
      <c r="K28">
        <f>+K26/K27</f>
        <v>5.2254720000000043</v>
      </c>
    </row>
    <row r="29" spans="1:11" ht="6.75" customHeight="1" x14ac:dyDescent="0.25">
      <c r="B29" s="12"/>
    </row>
    <row r="30" spans="1:11" x14ac:dyDescent="0.25">
      <c r="B30" s="12" t="s">
        <v>7</v>
      </c>
      <c r="D30" s="2">
        <f>IRR(C25:F26)</f>
        <v>0.10163396820629145</v>
      </c>
      <c r="K30">
        <f>+K27*5</f>
        <v>8897.2530976676353</v>
      </c>
    </row>
    <row r="31" spans="1:11" ht="6.75" customHeight="1" x14ac:dyDescent="0.25">
      <c r="B31" s="12"/>
    </row>
    <row r="32" spans="1:11" x14ac:dyDescent="0.25">
      <c r="B32" s="12" t="s">
        <v>8</v>
      </c>
      <c r="D32" t="s">
        <v>14</v>
      </c>
    </row>
    <row r="35" spans="1:14" ht="16.5" x14ac:dyDescent="0.3">
      <c r="A35" t="s">
        <v>15</v>
      </c>
      <c r="B35" s="3" t="s">
        <v>16</v>
      </c>
      <c r="C35" s="3"/>
      <c r="E35" s="4">
        <v>110000</v>
      </c>
      <c r="G35" s="16" t="s">
        <v>17</v>
      </c>
      <c r="H35">
        <v>6</v>
      </c>
      <c r="I35" t="s">
        <v>18</v>
      </c>
    </row>
    <row r="36" spans="1:14" ht="16.5" x14ac:dyDescent="0.3">
      <c r="B36" s="3" t="s">
        <v>4</v>
      </c>
      <c r="C36" s="3"/>
      <c r="D36" s="3"/>
      <c r="E36" s="4">
        <f>30000-4000</f>
        <v>26000</v>
      </c>
      <c r="F36" s="3"/>
      <c r="G36" s="16" t="s">
        <v>19</v>
      </c>
      <c r="H36" s="4">
        <v>10000</v>
      </c>
      <c r="I36" s="4"/>
      <c r="J36" s="3"/>
    </row>
    <row r="37" spans="1:14" ht="16.5" x14ac:dyDescent="0.3">
      <c r="B37" s="3" t="s">
        <v>20</v>
      </c>
      <c r="C37" s="3"/>
      <c r="D37" s="3"/>
      <c r="E37" s="5">
        <v>0.15</v>
      </c>
      <c r="F37" s="3" t="s">
        <v>13</v>
      </c>
      <c r="G37" s="3"/>
      <c r="H37" s="3"/>
      <c r="I37" s="3"/>
      <c r="J37" s="3"/>
    </row>
    <row r="38" spans="1:14" ht="16.5" x14ac:dyDescent="0.3">
      <c r="B38" s="3"/>
      <c r="C38" s="3"/>
      <c r="D38" s="3"/>
      <c r="E38" s="3"/>
      <c r="F38" s="3"/>
      <c r="G38" s="13"/>
      <c r="H38" s="13"/>
      <c r="I38" s="13"/>
      <c r="J38" s="13"/>
    </row>
    <row r="39" spans="1:14" ht="16.5" x14ac:dyDescent="0.3">
      <c r="B39" s="8" t="s">
        <v>0</v>
      </c>
      <c r="C39" s="6">
        <v>0</v>
      </c>
      <c r="D39" s="8">
        <v>1</v>
      </c>
      <c r="E39" s="8">
        <v>2</v>
      </c>
      <c r="F39" s="8">
        <v>3</v>
      </c>
      <c r="G39" s="8">
        <v>4</v>
      </c>
      <c r="H39" s="8">
        <v>5</v>
      </c>
      <c r="I39" s="8">
        <v>6</v>
      </c>
      <c r="J39" s="14"/>
    </row>
    <row r="40" spans="1:14" ht="16.5" x14ac:dyDescent="0.3">
      <c r="B40" s="8" t="s">
        <v>1</v>
      </c>
      <c r="C40" s="6">
        <f>(E35)*-1</f>
        <v>-110000</v>
      </c>
      <c r="D40" s="7">
        <f>$E$36/(1+$E$37)^D39</f>
        <v>22608.695652173916</v>
      </c>
      <c r="E40" s="7">
        <f t="shared" ref="E40:I40" si="1">$E$36/(1+$E$37)^E39</f>
        <v>19659.735349716448</v>
      </c>
      <c r="F40" s="7">
        <f t="shared" si="1"/>
        <v>17095.422043231698</v>
      </c>
      <c r="G40" s="7">
        <f t="shared" si="1"/>
        <v>14865.584385418868</v>
      </c>
      <c r="H40" s="7">
        <f t="shared" si="1"/>
        <v>12926.595117755536</v>
      </c>
      <c r="I40" s="7">
        <f t="shared" si="1"/>
        <v>11240.517493700469</v>
      </c>
      <c r="J40" s="15"/>
      <c r="K40" s="9">
        <f>+I36+E35-D40-E40</f>
        <v>67731.568998109637</v>
      </c>
    </row>
    <row r="41" spans="1:14" x14ac:dyDescent="0.25">
      <c r="K41">
        <f>+F40/12</f>
        <v>1424.6185036026416</v>
      </c>
    </row>
    <row r="42" spans="1:14" x14ac:dyDescent="0.25">
      <c r="B42" s="12" t="s">
        <v>5</v>
      </c>
      <c r="D42" s="9">
        <f>-(E35+I36)</f>
        <v>-110000</v>
      </c>
      <c r="E42" s="10">
        <f>SUM(D40:J40)</f>
        <v>98396.550041996932</v>
      </c>
      <c r="F42" s="11" t="s">
        <v>6</v>
      </c>
      <c r="G42" s="9">
        <f>+E42+D42</f>
        <v>-11603.449958003068</v>
      </c>
      <c r="K42">
        <f>+K40/K41</f>
        <v>47.543653846153823</v>
      </c>
      <c r="N42">
        <f>110000*18%</f>
        <v>19800</v>
      </c>
    </row>
    <row r="43" spans="1:14" ht="6.75" customHeight="1" x14ac:dyDescent="0.25">
      <c r="B43" s="12"/>
    </row>
    <row r="44" spans="1:14" x14ac:dyDescent="0.25">
      <c r="B44" s="12" t="s">
        <v>21</v>
      </c>
      <c r="C44" s="17"/>
      <c r="D44" s="18"/>
      <c r="E44" s="9">
        <f>+G42+H36</f>
        <v>-1603.4499580030679</v>
      </c>
      <c r="K44">
        <f>+K41*5</f>
        <v>7123.0925180132081</v>
      </c>
    </row>
    <row r="45" spans="1:14" ht="6.75" customHeight="1" x14ac:dyDescent="0.25">
      <c r="B45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55"/>
  <sheetViews>
    <sheetView showGridLines="0" tabSelected="1" topLeftCell="A5" workbookViewId="0">
      <selection activeCell="E28" sqref="E28"/>
    </sheetView>
  </sheetViews>
  <sheetFormatPr baseColWidth="10" defaultColWidth="14.42578125" defaultRowHeight="15" x14ac:dyDescent="0.25"/>
  <cols>
    <col min="1" max="1" width="4" style="22" customWidth="1"/>
    <col min="2" max="2" width="19.28515625" style="22" customWidth="1"/>
    <col min="3" max="3" width="14.140625" style="22" customWidth="1"/>
    <col min="4" max="15" width="10.7109375" style="22" customWidth="1"/>
    <col min="16" max="16384" width="14.42578125" style="22"/>
  </cols>
  <sheetData>
    <row r="2" spans="2:15" x14ac:dyDescent="0.25">
      <c r="B2" s="20"/>
      <c r="C2" s="21"/>
    </row>
    <row r="3" spans="2:15" x14ac:dyDescent="0.25">
      <c r="B3" s="20"/>
      <c r="C3" s="21"/>
    </row>
    <row r="4" spans="2:15" ht="21" customHeight="1" x14ac:dyDescent="0.35">
      <c r="B4" s="23" t="s">
        <v>24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2:15" x14ac:dyDescent="0.25">
      <c r="B5" s="20"/>
    </row>
    <row r="6" spans="2:15" x14ac:dyDescent="0.25">
      <c r="B6" s="25" t="s">
        <v>25</v>
      </c>
    </row>
    <row r="7" spans="2:15" x14ac:dyDescent="0.25">
      <c r="B7" s="20" t="s">
        <v>26</v>
      </c>
    </row>
    <row r="8" spans="2:15" x14ac:dyDescent="0.25">
      <c r="B8" s="26" t="s">
        <v>27</v>
      </c>
      <c r="C8" s="27">
        <v>25000</v>
      </c>
      <c r="D8" s="28" t="s">
        <v>28</v>
      </c>
      <c r="F8" s="29"/>
      <c r="G8" s="30"/>
      <c r="H8" s="30"/>
      <c r="I8" s="30"/>
      <c r="J8" s="30"/>
      <c r="K8" s="30"/>
      <c r="L8" s="30"/>
      <c r="M8" s="30"/>
      <c r="N8" s="30"/>
      <c r="O8" s="30"/>
    </row>
    <row r="9" spans="2:15" x14ac:dyDescent="0.25">
      <c r="B9" s="26" t="s">
        <v>22</v>
      </c>
      <c r="C9" s="27">
        <v>15000</v>
      </c>
      <c r="D9" s="28" t="s">
        <v>28</v>
      </c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2:15" x14ac:dyDescent="0.25">
      <c r="B10" s="26" t="s">
        <v>23</v>
      </c>
      <c r="C10" s="27">
        <v>5000</v>
      </c>
      <c r="D10" s="28"/>
      <c r="F10" s="30"/>
      <c r="G10" s="30"/>
      <c r="H10" s="30"/>
      <c r="I10" s="30"/>
      <c r="J10" s="30"/>
      <c r="K10" s="30"/>
      <c r="L10" s="30"/>
      <c r="M10" s="30"/>
      <c r="N10" s="30"/>
      <c r="O10" s="30"/>
    </row>
    <row r="11" spans="2:15" x14ac:dyDescent="0.25">
      <c r="B11" s="26" t="s">
        <v>29</v>
      </c>
      <c r="C11" s="28">
        <v>12</v>
      </c>
      <c r="D11" s="28" t="s">
        <v>30</v>
      </c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2:15" x14ac:dyDescent="0.25">
      <c r="B12" s="26" t="s">
        <v>31</v>
      </c>
      <c r="C12" s="31">
        <v>0.18</v>
      </c>
      <c r="D12" s="28" t="s">
        <v>13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2:15" x14ac:dyDescent="0.25">
      <c r="B13" s="26" t="s">
        <v>31</v>
      </c>
      <c r="C13" s="32">
        <f>(1+C12)^(1/12)-1</f>
        <v>1.3888430348409919E-2</v>
      </c>
      <c r="D13" s="28" t="s">
        <v>32</v>
      </c>
      <c r="F13" s="30"/>
      <c r="G13" s="30"/>
      <c r="H13" s="30"/>
      <c r="I13" s="30"/>
      <c r="J13" s="30"/>
      <c r="K13" s="30"/>
      <c r="L13" s="30"/>
      <c r="M13" s="30"/>
      <c r="N13" s="30"/>
      <c r="O13" s="30"/>
    </row>
    <row r="14" spans="2:15" x14ac:dyDescent="0.25">
      <c r="B14" s="26" t="s">
        <v>5</v>
      </c>
      <c r="C14" s="28" t="s">
        <v>33</v>
      </c>
      <c r="D14" s="28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spans="2:15" hidden="1" x14ac:dyDescent="0.25"/>
    <row r="16" spans="2:15" hidden="1" x14ac:dyDescent="0.25">
      <c r="B16" s="20" t="s">
        <v>34</v>
      </c>
      <c r="G16" s="33"/>
    </row>
    <row r="17" spans="2:15" x14ac:dyDescent="0.25">
      <c r="B17" s="20"/>
      <c r="G17" s="33"/>
    </row>
    <row r="18" spans="2:15" x14ac:dyDescent="0.25">
      <c r="B18" s="34" t="s">
        <v>35</v>
      </c>
      <c r="C18" s="35">
        <v>0</v>
      </c>
      <c r="D18" s="36">
        <v>1</v>
      </c>
      <c r="E18" s="36">
        <v>2</v>
      </c>
      <c r="F18" s="36">
        <v>3</v>
      </c>
      <c r="G18" s="36">
        <v>4</v>
      </c>
      <c r="H18" s="36">
        <v>5</v>
      </c>
      <c r="I18" s="36">
        <v>6</v>
      </c>
      <c r="J18" s="36">
        <v>7</v>
      </c>
      <c r="K18" s="36">
        <v>8</v>
      </c>
      <c r="L18" s="36">
        <v>9</v>
      </c>
      <c r="M18" s="36">
        <v>10</v>
      </c>
      <c r="N18" s="36">
        <v>11</v>
      </c>
      <c r="O18" s="36">
        <v>12</v>
      </c>
    </row>
    <row r="19" spans="2:15" x14ac:dyDescent="0.25">
      <c r="B19" s="37" t="s">
        <v>22</v>
      </c>
      <c r="C19" s="38">
        <f>-C8</f>
        <v>-25000</v>
      </c>
      <c r="D19" s="38">
        <f>+C9</f>
        <v>15000</v>
      </c>
      <c r="E19" s="38">
        <f t="shared" ref="E19:O20" si="0">+D19</f>
        <v>15000</v>
      </c>
      <c r="F19" s="38">
        <f t="shared" si="0"/>
        <v>15000</v>
      </c>
      <c r="G19" s="38">
        <f t="shared" si="0"/>
        <v>15000</v>
      </c>
      <c r="H19" s="38">
        <f t="shared" si="0"/>
        <v>15000</v>
      </c>
      <c r="I19" s="38">
        <f t="shared" si="0"/>
        <v>15000</v>
      </c>
      <c r="J19" s="38">
        <f t="shared" si="0"/>
        <v>15000</v>
      </c>
      <c r="K19" s="38">
        <f t="shared" si="0"/>
        <v>15000</v>
      </c>
      <c r="L19" s="38">
        <f t="shared" si="0"/>
        <v>15000</v>
      </c>
      <c r="M19" s="38">
        <f t="shared" si="0"/>
        <v>15000</v>
      </c>
      <c r="N19" s="38">
        <f t="shared" si="0"/>
        <v>15000</v>
      </c>
      <c r="O19" s="38">
        <f t="shared" si="0"/>
        <v>15000</v>
      </c>
    </row>
    <row r="20" spans="2:15" x14ac:dyDescent="0.25">
      <c r="B20" s="37" t="s">
        <v>23</v>
      </c>
      <c r="C20" s="38"/>
      <c r="D20" s="38">
        <f>-C10</f>
        <v>-5000</v>
      </c>
      <c r="E20" s="38">
        <f t="shared" si="0"/>
        <v>-5000</v>
      </c>
      <c r="F20" s="38">
        <f t="shared" si="0"/>
        <v>-5000</v>
      </c>
      <c r="G20" s="38">
        <f t="shared" si="0"/>
        <v>-5000</v>
      </c>
      <c r="H20" s="38">
        <f t="shared" si="0"/>
        <v>-5000</v>
      </c>
      <c r="I20" s="38">
        <f t="shared" si="0"/>
        <v>-5000</v>
      </c>
      <c r="J20" s="38">
        <f t="shared" si="0"/>
        <v>-5000</v>
      </c>
      <c r="K20" s="38">
        <f t="shared" si="0"/>
        <v>-5000</v>
      </c>
      <c r="L20" s="38">
        <f t="shared" si="0"/>
        <v>-5000</v>
      </c>
      <c r="M20" s="38">
        <f t="shared" si="0"/>
        <v>-5000</v>
      </c>
      <c r="N20" s="38">
        <f t="shared" si="0"/>
        <v>-5000</v>
      </c>
      <c r="O20" s="38">
        <f t="shared" si="0"/>
        <v>-5000</v>
      </c>
    </row>
    <row r="21" spans="2:15" x14ac:dyDescent="0.25">
      <c r="B21" s="37" t="s">
        <v>36</v>
      </c>
      <c r="C21" s="38"/>
      <c r="D21" s="38"/>
      <c r="E21" s="38"/>
      <c r="F21" s="38">
        <v>-5000</v>
      </c>
      <c r="G21" s="38"/>
      <c r="H21" s="38"/>
      <c r="I21" s="38"/>
      <c r="J21" s="38">
        <v>-8000</v>
      </c>
      <c r="K21" s="38"/>
      <c r="L21" s="38"/>
      <c r="M21" s="38"/>
      <c r="N21" s="38"/>
      <c r="O21" s="38"/>
    </row>
    <row r="22" spans="2:15" x14ac:dyDescent="0.25">
      <c r="B22" s="39" t="s">
        <v>37</v>
      </c>
      <c r="C22" s="40">
        <f t="shared" ref="C22:O22" si="1">+C19+C20+C21</f>
        <v>-25000</v>
      </c>
      <c r="D22" s="40">
        <f t="shared" si="1"/>
        <v>10000</v>
      </c>
      <c r="E22" s="40">
        <f t="shared" si="1"/>
        <v>10000</v>
      </c>
      <c r="F22" s="40">
        <f t="shared" si="1"/>
        <v>5000</v>
      </c>
      <c r="G22" s="40">
        <f t="shared" si="1"/>
        <v>10000</v>
      </c>
      <c r="H22" s="40">
        <f t="shared" si="1"/>
        <v>10000</v>
      </c>
      <c r="I22" s="40">
        <f t="shared" si="1"/>
        <v>10000</v>
      </c>
      <c r="J22" s="40">
        <f t="shared" si="1"/>
        <v>2000</v>
      </c>
      <c r="K22" s="40">
        <f t="shared" si="1"/>
        <v>10000</v>
      </c>
      <c r="L22" s="40">
        <f t="shared" si="1"/>
        <v>10000</v>
      </c>
      <c r="M22" s="40">
        <f t="shared" si="1"/>
        <v>10000</v>
      </c>
      <c r="N22" s="40">
        <f t="shared" si="1"/>
        <v>10000</v>
      </c>
      <c r="O22" s="40">
        <f t="shared" si="1"/>
        <v>10000</v>
      </c>
    </row>
    <row r="23" spans="2:15" x14ac:dyDescent="0.25">
      <c r="B23" s="37" t="s">
        <v>38</v>
      </c>
      <c r="C23" s="38">
        <f>C22/(1+$C$13)^(C18)</f>
        <v>-25000</v>
      </c>
      <c r="D23" s="38">
        <f>D22/(1+$C$13)^(D18)</f>
        <v>9863.0181592698773</v>
      </c>
      <c r="E23" s="38">
        <f t="shared" ref="E23:O23" si="2">E22/(1+$C$13)^(E18)</f>
        <v>9727.9127210087372</v>
      </c>
      <c r="F23" s="38">
        <f t="shared" si="2"/>
        <v>4797.3289909550822</v>
      </c>
      <c r="G23" s="38">
        <f t="shared" si="2"/>
        <v>9463.2285907563619</v>
      </c>
      <c r="H23" s="38">
        <f t="shared" si="2"/>
        <v>9333.59954359519</v>
      </c>
      <c r="I23" s="38">
        <f t="shared" si="2"/>
        <v>9205.7461789832396</v>
      </c>
      <c r="J23" s="38">
        <f t="shared" si="2"/>
        <v>1815.9288346588201</v>
      </c>
      <c r="K23" s="38">
        <f t="shared" si="2"/>
        <v>8955.2695360908656</v>
      </c>
      <c r="L23" s="38">
        <f t="shared" si="2"/>
        <v>8832.5986055620542</v>
      </c>
      <c r="M23" s="38">
        <f t="shared" si="2"/>
        <v>8711.608044020033</v>
      </c>
      <c r="N23" s="38">
        <f t="shared" si="2"/>
        <v>8592.2748334611151</v>
      </c>
      <c r="O23" s="38">
        <f t="shared" si="2"/>
        <v>8474.5762711864536</v>
      </c>
    </row>
    <row r="24" spans="2:15" x14ac:dyDescent="0.25">
      <c r="B24" s="37" t="s">
        <v>39</v>
      </c>
      <c r="C24" s="38">
        <f>-C19</f>
        <v>25000</v>
      </c>
      <c r="D24" s="38">
        <f t="shared" ref="D24:O24" si="3">C24-D23</f>
        <v>15136.981840730123</v>
      </c>
      <c r="E24" s="38">
        <f t="shared" si="3"/>
        <v>5409.0691197213855</v>
      </c>
      <c r="F24" s="38">
        <f t="shared" si="3"/>
        <v>611.74012876630331</v>
      </c>
      <c r="G24" s="38">
        <f t="shared" si="3"/>
        <v>-8851.4884619900586</v>
      </c>
      <c r="H24" s="38">
        <f t="shared" si="3"/>
        <v>-18185.088005585247</v>
      </c>
      <c r="I24" s="38">
        <f t="shared" si="3"/>
        <v>-27390.834184568484</v>
      </c>
      <c r="J24" s="38">
        <f t="shared" si="3"/>
        <v>-29206.763019227306</v>
      </c>
      <c r="K24" s="38">
        <f t="shared" si="3"/>
        <v>-38162.032555318176</v>
      </c>
      <c r="L24" s="38">
        <f t="shared" si="3"/>
        <v>-46994.631160880228</v>
      </c>
      <c r="M24" s="38">
        <f t="shared" si="3"/>
        <v>-55706.239204900259</v>
      </c>
      <c r="N24" s="38">
        <f t="shared" si="3"/>
        <v>-64298.514038361376</v>
      </c>
      <c r="O24" s="38">
        <f t="shared" si="3"/>
        <v>-72773.090309547828</v>
      </c>
    </row>
    <row r="25" spans="2:15" x14ac:dyDescent="0.25">
      <c r="B25" s="37" t="s">
        <v>40</v>
      </c>
      <c r="C25" s="41">
        <f t="shared" ref="C25:O25" si="4">IF(B25&lt;1,0,IF(C24&gt;0,1,B24/C23))</f>
        <v>1</v>
      </c>
      <c r="D25" s="42">
        <f t="shared" si="4"/>
        <v>1</v>
      </c>
      <c r="E25" s="42">
        <f t="shared" si="4"/>
        <v>1</v>
      </c>
      <c r="F25" s="42">
        <f t="shared" si="4"/>
        <v>1</v>
      </c>
      <c r="G25" s="42">
        <f t="shared" si="4"/>
        <v>6.4643913321913021E-2</v>
      </c>
      <c r="H25" s="42">
        <f t="shared" si="4"/>
        <v>0</v>
      </c>
      <c r="I25" s="42">
        <f t="shared" si="4"/>
        <v>0</v>
      </c>
      <c r="J25" s="42">
        <f t="shared" si="4"/>
        <v>0</v>
      </c>
      <c r="K25" s="42">
        <f t="shared" si="4"/>
        <v>0</v>
      </c>
      <c r="L25" s="42">
        <f t="shared" si="4"/>
        <v>0</v>
      </c>
      <c r="M25" s="42">
        <f t="shared" si="4"/>
        <v>0</v>
      </c>
      <c r="N25" s="42">
        <f t="shared" si="4"/>
        <v>0</v>
      </c>
      <c r="O25" s="42">
        <f t="shared" si="4"/>
        <v>0</v>
      </c>
    </row>
    <row r="26" spans="2:15" hidden="1" x14ac:dyDescent="0.25">
      <c r="B26" s="20"/>
      <c r="C26" s="43"/>
      <c r="D26" s="43"/>
      <c r="E26" s="43"/>
      <c r="F26" s="43"/>
    </row>
    <row r="28" spans="2:15" x14ac:dyDescent="0.25">
      <c r="B28" s="37" t="s">
        <v>5</v>
      </c>
      <c r="C28" s="44">
        <f>NPV(C13,D22:O22)+C22</f>
        <v>72773.090309547813</v>
      </c>
      <c r="D28" s="45" t="s">
        <v>28</v>
      </c>
    </row>
    <row r="29" spans="2:15" x14ac:dyDescent="0.25">
      <c r="B29" s="37" t="s">
        <v>7</v>
      </c>
      <c r="C29" s="46">
        <f>IRR(C22:O22)</f>
        <v>0.34653986380030033</v>
      </c>
      <c r="D29" s="45" t="s">
        <v>32</v>
      </c>
      <c r="F29" s="29"/>
      <c r="G29" s="30"/>
      <c r="H29" s="30"/>
      <c r="I29" s="30"/>
      <c r="J29" s="30"/>
      <c r="K29" s="30"/>
      <c r="L29" s="30"/>
      <c r="M29" s="30"/>
      <c r="N29" s="30"/>
      <c r="O29" s="30"/>
    </row>
    <row r="30" spans="2:15" x14ac:dyDescent="0.25">
      <c r="B30" s="37" t="s">
        <v>8</v>
      </c>
      <c r="C30" s="47">
        <f>SUM(D25:O25)</f>
        <v>3.064643913321913</v>
      </c>
      <c r="D30" s="45" t="s">
        <v>30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1" spans="2:15" ht="15" customHeight="1" x14ac:dyDescent="0.25">
      <c r="F31" s="30"/>
      <c r="G31" s="30"/>
      <c r="H31" s="30"/>
      <c r="I31" s="30"/>
      <c r="J31" s="30"/>
      <c r="K31" s="30"/>
      <c r="L31" s="30"/>
      <c r="M31" s="30"/>
      <c r="N31" s="30"/>
      <c r="O31" s="30"/>
    </row>
    <row r="32" spans="2:15" x14ac:dyDescent="0.25">
      <c r="B32" s="20" t="s">
        <v>41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spans="2:15" x14ac:dyDescent="0.25">
      <c r="B33" s="26" t="s">
        <v>27</v>
      </c>
      <c r="C33" s="27">
        <v>40000</v>
      </c>
      <c r="D33" s="28" t="s">
        <v>28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</row>
    <row r="34" spans="2:15" x14ac:dyDescent="0.25">
      <c r="B34" s="26" t="s">
        <v>22</v>
      </c>
      <c r="C34" s="27">
        <v>12000</v>
      </c>
      <c r="D34" s="28" t="s">
        <v>28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</row>
    <row r="35" spans="2:15" x14ac:dyDescent="0.25">
      <c r="B35" s="26" t="s">
        <v>23</v>
      </c>
      <c r="C35" s="27">
        <v>5000</v>
      </c>
      <c r="D35" s="28"/>
      <c r="F35" s="30"/>
      <c r="G35" s="30"/>
      <c r="H35" s="30"/>
      <c r="I35" s="30"/>
      <c r="J35" s="30"/>
      <c r="K35" s="30"/>
      <c r="L35" s="30"/>
      <c r="M35" s="30"/>
      <c r="N35" s="30"/>
      <c r="O35" s="30"/>
    </row>
    <row r="36" spans="2:15" x14ac:dyDescent="0.25">
      <c r="B36" s="26" t="s">
        <v>29</v>
      </c>
      <c r="C36" s="28">
        <v>12</v>
      </c>
      <c r="D36" s="28" t="s">
        <v>30</v>
      </c>
    </row>
    <row r="37" spans="2:15" x14ac:dyDescent="0.25">
      <c r="B37" s="26" t="s">
        <v>31</v>
      </c>
      <c r="C37" s="31">
        <v>0.18</v>
      </c>
      <c r="D37" s="28" t="s">
        <v>13</v>
      </c>
    </row>
    <row r="38" spans="2:15" x14ac:dyDescent="0.25">
      <c r="B38" s="26" t="s">
        <v>31</v>
      </c>
      <c r="C38" s="32">
        <f>(1+C37)^(1/12)-1</f>
        <v>1.3888430348409919E-2</v>
      </c>
      <c r="D38" s="28" t="s">
        <v>32</v>
      </c>
    </row>
    <row r="39" spans="2:15" x14ac:dyDescent="0.25">
      <c r="B39" s="26" t="s">
        <v>5</v>
      </c>
      <c r="C39" s="28" t="s">
        <v>33</v>
      </c>
      <c r="D39" s="28"/>
    </row>
    <row r="40" spans="2:15" hidden="1" x14ac:dyDescent="0.25"/>
    <row r="41" spans="2:15" hidden="1" x14ac:dyDescent="0.25">
      <c r="B41" s="20" t="s">
        <v>34</v>
      </c>
      <c r="G41" s="33"/>
    </row>
    <row r="42" spans="2:15" x14ac:dyDescent="0.25">
      <c r="B42" s="20"/>
      <c r="G42" s="33"/>
    </row>
    <row r="43" spans="2:15" x14ac:dyDescent="0.25">
      <c r="B43" s="34" t="s">
        <v>35</v>
      </c>
      <c r="C43" s="35">
        <v>0</v>
      </c>
      <c r="D43" s="36">
        <v>1</v>
      </c>
      <c r="E43" s="36">
        <v>2</v>
      </c>
      <c r="F43" s="36">
        <v>3</v>
      </c>
      <c r="G43" s="36">
        <v>4</v>
      </c>
      <c r="H43" s="36">
        <v>5</v>
      </c>
      <c r="I43" s="36">
        <v>6</v>
      </c>
      <c r="J43" s="36">
        <v>7</v>
      </c>
      <c r="K43" s="36">
        <v>8</v>
      </c>
      <c r="L43" s="36">
        <v>9</v>
      </c>
      <c r="M43" s="36">
        <v>10</v>
      </c>
      <c r="N43" s="36">
        <v>11</v>
      </c>
      <c r="O43" s="36">
        <v>12</v>
      </c>
    </row>
    <row r="44" spans="2:15" x14ac:dyDescent="0.25">
      <c r="B44" s="37" t="s">
        <v>22</v>
      </c>
      <c r="C44" s="38">
        <f>-C33</f>
        <v>-40000</v>
      </c>
      <c r="D44" s="38">
        <f>+C34</f>
        <v>12000</v>
      </c>
      <c r="E44" s="38">
        <f t="shared" ref="E44:O45" si="5">+D44</f>
        <v>12000</v>
      </c>
      <c r="F44" s="38">
        <f t="shared" si="5"/>
        <v>12000</v>
      </c>
      <c r="G44" s="38">
        <f t="shared" si="5"/>
        <v>12000</v>
      </c>
      <c r="H44" s="38">
        <f t="shared" si="5"/>
        <v>12000</v>
      </c>
      <c r="I44" s="38">
        <f t="shared" si="5"/>
        <v>12000</v>
      </c>
      <c r="J44" s="38">
        <f t="shared" si="5"/>
        <v>12000</v>
      </c>
      <c r="K44" s="38">
        <f t="shared" si="5"/>
        <v>12000</v>
      </c>
      <c r="L44" s="38">
        <f t="shared" si="5"/>
        <v>12000</v>
      </c>
      <c r="M44" s="38">
        <f t="shared" si="5"/>
        <v>12000</v>
      </c>
      <c r="N44" s="38">
        <f t="shared" si="5"/>
        <v>12000</v>
      </c>
      <c r="O44" s="38">
        <f t="shared" si="5"/>
        <v>12000</v>
      </c>
    </row>
    <row r="45" spans="2:15" x14ac:dyDescent="0.25">
      <c r="B45" s="37" t="s">
        <v>23</v>
      </c>
      <c r="C45" s="38"/>
      <c r="D45" s="38">
        <f>-C35</f>
        <v>-5000</v>
      </c>
      <c r="E45" s="38">
        <f t="shared" si="5"/>
        <v>-5000</v>
      </c>
      <c r="F45" s="38">
        <f t="shared" si="5"/>
        <v>-5000</v>
      </c>
      <c r="G45" s="38">
        <f t="shared" si="5"/>
        <v>-5000</v>
      </c>
      <c r="H45" s="38">
        <f t="shared" si="5"/>
        <v>-5000</v>
      </c>
      <c r="I45" s="38">
        <f t="shared" si="5"/>
        <v>-5000</v>
      </c>
      <c r="J45" s="38">
        <f t="shared" si="5"/>
        <v>-5000</v>
      </c>
      <c r="K45" s="38">
        <f t="shared" si="5"/>
        <v>-5000</v>
      </c>
      <c r="L45" s="38">
        <f t="shared" si="5"/>
        <v>-5000</v>
      </c>
      <c r="M45" s="38">
        <f t="shared" si="5"/>
        <v>-5000</v>
      </c>
      <c r="N45" s="38">
        <f t="shared" si="5"/>
        <v>-5000</v>
      </c>
      <c r="O45" s="38"/>
    </row>
    <row r="46" spans="2:15" x14ac:dyDescent="0.25">
      <c r="B46" s="37" t="s">
        <v>36</v>
      </c>
      <c r="C46" s="38"/>
      <c r="D46" s="38"/>
      <c r="E46" s="38"/>
      <c r="F46" s="38"/>
      <c r="G46" s="38"/>
      <c r="H46" s="38"/>
      <c r="I46" s="38"/>
      <c r="J46" s="38"/>
      <c r="K46" s="38">
        <v>-10000</v>
      </c>
      <c r="L46" s="38">
        <v>-3000</v>
      </c>
      <c r="M46" s="38"/>
      <c r="N46" s="38"/>
      <c r="O46" s="38"/>
    </row>
    <row r="47" spans="2:15" x14ac:dyDescent="0.25">
      <c r="B47" s="39" t="s">
        <v>37</v>
      </c>
      <c r="C47" s="40">
        <f t="shared" ref="C47:O47" si="6">+C44+C45+C46</f>
        <v>-40000</v>
      </c>
      <c r="D47" s="40">
        <f t="shared" si="6"/>
        <v>7000</v>
      </c>
      <c r="E47" s="40">
        <f t="shared" si="6"/>
        <v>7000</v>
      </c>
      <c r="F47" s="40">
        <f t="shared" si="6"/>
        <v>7000</v>
      </c>
      <c r="G47" s="40">
        <f t="shared" si="6"/>
        <v>7000</v>
      </c>
      <c r="H47" s="40">
        <f t="shared" si="6"/>
        <v>7000</v>
      </c>
      <c r="I47" s="40">
        <f t="shared" si="6"/>
        <v>7000</v>
      </c>
      <c r="J47" s="40">
        <f t="shared" si="6"/>
        <v>7000</v>
      </c>
      <c r="K47" s="40">
        <f t="shared" si="6"/>
        <v>-3000</v>
      </c>
      <c r="L47" s="40">
        <f t="shared" si="6"/>
        <v>4000</v>
      </c>
      <c r="M47" s="40">
        <f t="shared" si="6"/>
        <v>7000</v>
      </c>
      <c r="N47" s="40">
        <f t="shared" si="6"/>
        <v>7000</v>
      </c>
      <c r="O47" s="40">
        <f t="shared" si="6"/>
        <v>12000</v>
      </c>
    </row>
    <row r="48" spans="2:15" x14ac:dyDescent="0.25">
      <c r="B48" s="37" t="s">
        <v>38</v>
      </c>
      <c r="C48" s="38">
        <f>C47/(1+$C$38)^(C43)</f>
        <v>-40000</v>
      </c>
      <c r="D48" s="38">
        <f>D47/(1+$C$38)^(D43)</f>
        <v>6904.112711488915</v>
      </c>
      <c r="E48" s="38">
        <f t="shared" ref="E48:O48" si="7">E47/(1+$C$38)^(E43)</f>
        <v>6809.5389047061162</v>
      </c>
      <c r="F48" s="38">
        <f t="shared" si="7"/>
        <v>6716.2605873371149</v>
      </c>
      <c r="G48" s="38">
        <f t="shared" si="7"/>
        <v>6624.2600135294542</v>
      </c>
      <c r="H48" s="38">
        <f t="shared" si="7"/>
        <v>6533.5196805166333</v>
      </c>
      <c r="I48" s="38">
        <f t="shared" si="7"/>
        <v>6444.0223252882679</v>
      </c>
      <c r="J48" s="38">
        <f t="shared" si="7"/>
        <v>6355.7509213058702</v>
      </c>
      <c r="K48" s="38">
        <f t="shared" si="7"/>
        <v>-2686.5808608272596</v>
      </c>
      <c r="L48" s="38">
        <f t="shared" si="7"/>
        <v>3533.0394422248219</v>
      </c>
      <c r="M48" s="38">
        <f t="shared" si="7"/>
        <v>6098.1256308140237</v>
      </c>
      <c r="N48" s="38">
        <f t="shared" si="7"/>
        <v>6014.5923834227806</v>
      </c>
      <c r="O48" s="38">
        <f t="shared" si="7"/>
        <v>10169.491525423744</v>
      </c>
    </row>
    <row r="49" spans="2:15" x14ac:dyDescent="0.25">
      <c r="B49" s="37" t="s">
        <v>39</v>
      </c>
      <c r="C49" s="38">
        <f>-C44</f>
        <v>40000</v>
      </c>
      <c r="D49" s="38">
        <f t="shared" ref="D49:O49" si="8">C49-D48</f>
        <v>33095.887288511083</v>
      </c>
      <c r="E49" s="38">
        <f t="shared" si="8"/>
        <v>26286.348383804965</v>
      </c>
      <c r="F49" s="38">
        <f t="shared" si="8"/>
        <v>19570.087796467851</v>
      </c>
      <c r="G49" s="38">
        <f t="shared" si="8"/>
        <v>12945.827782938397</v>
      </c>
      <c r="H49" s="38">
        <f t="shared" si="8"/>
        <v>6412.3081024217636</v>
      </c>
      <c r="I49" s="38">
        <f t="shared" si="8"/>
        <v>-31.714222866504315</v>
      </c>
      <c r="J49" s="38">
        <f t="shared" si="8"/>
        <v>-6387.4651441723745</v>
      </c>
      <c r="K49" s="38">
        <f t="shared" si="8"/>
        <v>-3700.8842833451149</v>
      </c>
      <c r="L49" s="38">
        <f t="shared" si="8"/>
        <v>-7233.9237255699372</v>
      </c>
      <c r="M49" s="38">
        <f t="shared" si="8"/>
        <v>-13332.049356383961</v>
      </c>
      <c r="N49" s="38">
        <f t="shared" si="8"/>
        <v>-19346.641739806742</v>
      </c>
      <c r="O49" s="38">
        <f t="shared" si="8"/>
        <v>-29516.133265230485</v>
      </c>
    </row>
    <row r="50" spans="2:15" x14ac:dyDescent="0.25">
      <c r="B50" s="37" t="s">
        <v>40</v>
      </c>
      <c r="C50" s="42"/>
      <c r="D50" s="42">
        <f>IF(D49&gt;0,1,C49/D48)</f>
        <v>1</v>
      </c>
      <c r="E50" s="42">
        <f t="shared" ref="E50:F50" si="9">IF(E49&gt;0,1,D49/E48)</f>
        <v>1</v>
      </c>
      <c r="F50" s="42">
        <f t="shared" si="9"/>
        <v>1</v>
      </c>
      <c r="G50" s="42">
        <f>IF(F50&lt;1,0,IF(G49&gt;0,1,F49/G48))</f>
        <v>1</v>
      </c>
      <c r="H50" s="42">
        <f>IF(G50&lt;1,0,IF(H49&gt;0,1,G49/H48))</f>
        <v>1</v>
      </c>
      <c r="I50" s="42">
        <f t="shared" ref="I50:O50" si="10">IF(H50&lt;1,0,IF(I49&gt;0,1,H49/I48))</f>
        <v>0.99507850512217377</v>
      </c>
      <c r="J50" s="42">
        <f t="shared" si="10"/>
        <v>0</v>
      </c>
      <c r="K50" s="42">
        <f t="shared" si="10"/>
        <v>0</v>
      </c>
      <c r="L50" s="42">
        <f t="shared" si="10"/>
        <v>0</v>
      </c>
      <c r="M50" s="42">
        <f t="shared" si="10"/>
        <v>0</v>
      </c>
      <c r="N50" s="42">
        <f t="shared" si="10"/>
        <v>0</v>
      </c>
      <c r="O50" s="42">
        <f t="shared" si="10"/>
        <v>0</v>
      </c>
    </row>
    <row r="51" spans="2:15" hidden="1" x14ac:dyDescent="0.25">
      <c r="B51" s="20"/>
      <c r="C51" s="43"/>
      <c r="D51" s="43"/>
      <c r="E51" s="43"/>
      <c r="F51" s="43"/>
    </row>
    <row r="53" spans="2:15" x14ac:dyDescent="0.25">
      <c r="B53" s="37" t="s">
        <v>5</v>
      </c>
      <c r="C53" s="44">
        <f>NPV(C38,D47:O47)+C47</f>
        <v>29516.13326523047</v>
      </c>
      <c r="D53" s="45" t="s">
        <v>28</v>
      </c>
    </row>
    <row r="54" spans="2:15" x14ac:dyDescent="0.25">
      <c r="B54" s="37" t="s">
        <v>7</v>
      </c>
      <c r="C54" s="46">
        <f>IRR(C47:O47)</f>
        <v>0.11733587985771643</v>
      </c>
      <c r="D54" s="45"/>
    </row>
    <row r="55" spans="2:15" x14ac:dyDescent="0.25">
      <c r="B55" s="37" t="s">
        <v>8</v>
      </c>
      <c r="C55" s="47">
        <f>SUM(D50:O50)</f>
        <v>5.9950785051221738</v>
      </c>
      <c r="D55" s="45" t="s">
        <v>30</v>
      </c>
    </row>
  </sheetData>
  <mergeCells count="3">
    <mergeCell ref="B4:O4"/>
    <mergeCell ref="F8:O14"/>
    <mergeCell ref="F29:O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4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MARCO-201611</dc:creator>
  <cp:lastModifiedBy>mpizarror</cp:lastModifiedBy>
  <dcterms:created xsi:type="dcterms:W3CDTF">2019-02-10T21:01:01Z</dcterms:created>
  <dcterms:modified xsi:type="dcterms:W3CDTF">2019-02-11T21:25:51Z</dcterms:modified>
</cp:coreProperties>
</file>